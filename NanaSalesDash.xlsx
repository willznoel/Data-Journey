
<file path=[Content_Types].xml><?xml version="1.0" encoding="utf-8"?>
<Types xmlns="http://schemas.openxmlformats.org/package/2006/content-types">
  <Default Extension="bin" ContentType="application/vnd.openxmlformats-officedocument.spreadsheetml.printerSettings"/>
  <Default Extension="jfif"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_1\Downloads\"/>
    </mc:Choice>
  </mc:AlternateContent>
  <xr:revisionPtr revIDLastSave="0" documentId="13_ncr:1_{7E83F8B4-121F-4F8C-80E0-6B1AFF7A3961}" xr6:coauthVersionLast="47" xr6:coauthVersionMax="47" xr10:uidLastSave="{00000000-0000-0000-0000-000000000000}"/>
  <bookViews>
    <workbookView xWindow="-108" yWindow="-108" windowWidth="23256" windowHeight="12576" activeTab="4" xr2:uid="{8EF8AC24-7DE8-4383-99F5-3A777DAE6CFC}"/>
  </bookViews>
  <sheets>
    <sheet name="PriceTable" sheetId="1" r:id="rId1"/>
    <sheet name="Sales" sheetId="2" r:id="rId2"/>
    <sheet name="Pivot Tables" sheetId="3" r:id="rId3"/>
    <sheet name="Dasboard" sheetId="4" r:id="rId4"/>
    <sheet name="Executive Summary" sheetId="5" r:id="rId5"/>
  </sheets>
  <definedNames>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09" i="2" l="1"/>
  <c r="E209" i="2"/>
  <c r="E228" i="2"/>
  <c r="E227" i="2"/>
  <c r="C227"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L10" i="2" s="1"/>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L11" i="2" s="1"/>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10" i="2"/>
  <c r="E211" i="2"/>
  <c r="E212" i="2"/>
  <c r="E213" i="2"/>
  <c r="E214" i="2"/>
  <c r="E215" i="2"/>
  <c r="E216" i="2"/>
  <c r="E217" i="2"/>
  <c r="E218" i="2"/>
  <c r="E219" i="2"/>
  <c r="E220" i="2"/>
  <c r="E221" i="2"/>
  <c r="E222" i="2"/>
  <c r="E223" i="2"/>
  <c r="E224" i="2"/>
  <c r="E225" i="2"/>
  <c r="E226" i="2"/>
  <c r="E2" i="2"/>
  <c r="L9" i="2" s="1"/>
  <c r="C226" i="2"/>
  <c r="C225" i="2"/>
  <c r="C224" i="2"/>
  <c r="C223" i="2"/>
  <c r="C222" i="2"/>
  <c r="C221" i="2"/>
  <c r="C220" i="2"/>
  <c r="C219" i="2"/>
  <c r="C218" i="2"/>
  <c r="C217" i="2"/>
  <c r="C216" i="2"/>
  <c r="C215" i="2"/>
  <c r="C214" i="2"/>
  <c r="C213" i="2"/>
  <c r="C212" i="2"/>
  <c r="C211" i="2"/>
  <c r="C210"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6" i="2"/>
  <c r="C167" i="2"/>
  <c r="C168" i="2"/>
  <c r="C165" i="2"/>
  <c r="C162" i="2"/>
  <c r="C163" i="2"/>
  <c r="C164"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17" i="2"/>
  <c r="C118" i="2"/>
  <c r="C119" i="2"/>
  <c r="C120" i="2"/>
  <c r="C121" i="2"/>
  <c r="C105" i="2"/>
  <c r="C106" i="2"/>
  <c r="C107" i="2"/>
  <c r="C108" i="2"/>
  <c r="C109" i="2"/>
  <c r="C110" i="2"/>
  <c r="C111" i="2"/>
  <c r="C112" i="2"/>
  <c r="C113" i="2"/>
  <c r="C114" i="2"/>
  <c r="C115" i="2"/>
  <c r="C116" i="2"/>
  <c r="C94" i="2"/>
  <c r="C95" i="2"/>
  <c r="C96" i="2"/>
  <c r="C97" i="2"/>
  <c r="C98" i="2"/>
  <c r="C99" i="2"/>
  <c r="C100" i="2"/>
  <c r="C101" i="2"/>
  <c r="C102" i="2"/>
  <c r="C103" i="2"/>
  <c r="C104" i="2"/>
  <c r="C85" i="2"/>
  <c r="C86" i="2"/>
  <c r="C87" i="2"/>
  <c r="C88" i="2"/>
  <c r="C89" i="2"/>
  <c r="C90" i="2"/>
  <c r="C91" i="2"/>
  <c r="C92" i="2"/>
  <c r="C93" i="2"/>
  <c r="C80" i="2"/>
  <c r="C81" i="2"/>
  <c r="C82" i="2"/>
  <c r="C83" i="2"/>
  <c r="C84" i="2"/>
  <c r="C69" i="2"/>
  <c r="C70" i="2"/>
  <c r="C71" i="2"/>
  <c r="C72" i="2"/>
  <c r="C73" i="2"/>
  <c r="C74" i="2"/>
  <c r="C75" i="2"/>
  <c r="C76" i="2"/>
  <c r="C77" i="2"/>
  <c r="C78" i="2"/>
  <c r="C79" i="2"/>
  <c r="C57" i="2"/>
  <c r="C58" i="2"/>
  <c r="C59" i="2"/>
  <c r="C60" i="2"/>
  <c r="C61" i="2"/>
  <c r="C62" i="2"/>
  <c r="C63" i="2"/>
  <c r="C64" i="2"/>
  <c r="C65" i="2"/>
  <c r="C66" i="2"/>
  <c r="C67" i="2"/>
  <c r="C68" i="2"/>
  <c r="C46" i="2"/>
  <c r="C47" i="2"/>
  <c r="C48" i="2"/>
  <c r="C49" i="2"/>
  <c r="C50" i="2"/>
  <c r="C51" i="2"/>
  <c r="C52" i="2"/>
  <c r="C53" i="2"/>
  <c r="C54" i="2"/>
  <c r="C55" i="2"/>
  <c r="C56" i="2"/>
  <c r="C35" i="2"/>
  <c r="C36" i="2"/>
  <c r="C37" i="2"/>
  <c r="C38" i="2"/>
  <c r="C39" i="2"/>
  <c r="C40" i="2"/>
  <c r="C41" i="2"/>
  <c r="C42" i="2"/>
  <c r="C43" i="2"/>
  <c r="C44" i="2"/>
  <c r="C45" i="2"/>
  <c r="C26" i="2"/>
  <c r="C27" i="2"/>
  <c r="C28" i="2"/>
  <c r="C29" i="2"/>
  <c r="C30" i="2"/>
  <c r="C31" i="2"/>
  <c r="C32" i="2"/>
  <c r="C33" i="2"/>
  <c r="C34" i="2"/>
  <c r="C17" i="2"/>
  <c r="C18" i="2"/>
  <c r="C19" i="2"/>
  <c r="C20" i="2"/>
  <c r="C21" i="2"/>
  <c r="C22" i="2"/>
  <c r="C23" i="2"/>
  <c r="C24" i="2"/>
  <c r="C25" i="2"/>
  <c r="C9" i="2"/>
  <c r="C10" i="2"/>
  <c r="C11" i="2"/>
  <c r="C12" i="2"/>
  <c r="C13" i="2"/>
  <c r="C14" i="2"/>
  <c r="C15" i="2"/>
  <c r="C16" i="2"/>
  <c r="C3" i="2"/>
  <c r="C4" i="2"/>
  <c r="C5" i="2"/>
  <c r="C6" i="2"/>
  <c r="C7" i="2"/>
  <c r="C8" i="2"/>
  <c r="C2" i="2"/>
  <c r="N10" i="2" l="1"/>
  <c r="F2" i="2"/>
</calcChain>
</file>

<file path=xl/sharedStrings.xml><?xml version="1.0" encoding="utf-8"?>
<sst xmlns="http://schemas.openxmlformats.org/spreadsheetml/2006/main" count="312" uniqueCount="58">
  <si>
    <t>Product</t>
  </si>
  <si>
    <t>Unit Price</t>
  </si>
  <si>
    <t>Coffee soap</t>
  </si>
  <si>
    <t>Coffee scrub</t>
  </si>
  <si>
    <t>Watermelon scrub</t>
  </si>
  <si>
    <t>Turmeric &amp; honey soap (T&amp;H)</t>
  </si>
  <si>
    <t>Charcoal soap</t>
  </si>
  <si>
    <t>Oatmeal soap</t>
  </si>
  <si>
    <t>Carrot oil small</t>
  </si>
  <si>
    <t>Carrot oil big</t>
  </si>
  <si>
    <t>Body lotion</t>
  </si>
  <si>
    <t>Lip butter</t>
  </si>
  <si>
    <t>Hand lotion</t>
  </si>
  <si>
    <t>Face mist</t>
  </si>
  <si>
    <t>Face mask</t>
  </si>
  <si>
    <t>Vikoi</t>
  </si>
  <si>
    <t>Face roller</t>
  </si>
  <si>
    <t>Gua sha</t>
  </si>
  <si>
    <t>Date</t>
  </si>
  <si>
    <t>Units Sold</t>
  </si>
  <si>
    <t>Coffee Scrub</t>
  </si>
  <si>
    <t>Candle</t>
  </si>
  <si>
    <t>Carrot Oil Small</t>
  </si>
  <si>
    <t>Coffee Soap</t>
  </si>
  <si>
    <t>Body Butter</t>
  </si>
  <si>
    <t>Body Lotion</t>
  </si>
  <si>
    <t>Beard Oil</t>
  </si>
  <si>
    <t>Lip Butter</t>
  </si>
  <si>
    <t>Body Polish</t>
  </si>
  <si>
    <t>Jiwe</t>
  </si>
  <si>
    <t>Charcoal Soap</t>
  </si>
  <si>
    <t>Essential Oil</t>
  </si>
  <si>
    <t>Face Mask</t>
  </si>
  <si>
    <t>Body Mist</t>
  </si>
  <si>
    <t>Body Wash</t>
  </si>
  <si>
    <t>Hand Lotion</t>
  </si>
  <si>
    <t>Face Mist</t>
  </si>
  <si>
    <t>Revenue</t>
  </si>
  <si>
    <t>Coffee Soap Small</t>
  </si>
  <si>
    <t>soap dish</t>
  </si>
  <si>
    <t>Month</t>
  </si>
  <si>
    <t>Row Labels</t>
  </si>
  <si>
    <t>Grand Total</t>
  </si>
  <si>
    <t>Sum of Units Sold</t>
  </si>
  <si>
    <t>Sum of Revenue</t>
  </si>
  <si>
    <t>Beard wash</t>
  </si>
  <si>
    <t>Shea Butter</t>
  </si>
  <si>
    <t>Hair Oil</t>
  </si>
  <si>
    <t>Coffee Rose</t>
  </si>
  <si>
    <t>Coffee Small Soap</t>
  </si>
  <si>
    <t>Dec</t>
  </si>
  <si>
    <t>Column1</t>
  </si>
  <si>
    <t>oct revenue</t>
  </si>
  <si>
    <t>nov revenue</t>
  </si>
  <si>
    <t>dec revenue</t>
  </si>
  <si>
    <t>total revenue</t>
  </si>
  <si>
    <t>Oct</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</si>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</sst>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TZS]\ * #,##0_);_([$TZS]\ * \(#,##0\);_([$TZS]\ * &quot;-&quot;_);_(@_)"/>
    <numFmt numFmtId="165" formatCode="_([$TZS]\ * #,##0_);_([$TZS]\ * \(#,##0\);_([$TZS]\ * &quot;-&quot;??_);_(@_)"/>
    <numFmt numFmtId="166" formatCode="[&gt;=1000000]&quot;TZS &quot;\ #,##0,,&quot;m&quot;;&quot;TZS &quot;\ #,##0,&quot;k&quot;"/>
  </numFmts>
  <fonts count="4"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44" fontId="3" fillId="0" borderId="0" applyFont="0" applyFill="0" applyBorder="0" applyAlignment="0" applyProtection="0"/>
  </cellStyleXfs>
  <cellXfs count="1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164" fontId="1" fillId="0" borderId="0" xfId="1" applyNumberFormat="1" applyFont="1" applyAlignment="1">
      <alignment horizontal="center" vertical="center" wrapText="1"/>
    </xf>
    <xf numFmtId="164" fontId="0" fillId="0" borderId="0" xfId="1" applyNumberFormat="1" applyFont="1" applyAlignment="1">
      <alignment vertical="center" wrapText="1"/>
    </xf>
    <xf numFmtId="164" fontId="0" fillId="0" borderId="0" xfId="1" applyNumberFormat="1"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165" fontId="0" fillId="2" borderId="1" xfId="0" applyNumberFormat="1" applyFont="1" applyFill="1" applyBorder="1"/>
    <xf numFmtId="164" fontId="0" fillId="0" borderId="0" xfId="0" applyNumberFormat="1"/>
  </cellXfs>
  <cellStyles count="2">
    <cellStyle name="Currency" xfId="1" builtinId="4"/>
    <cellStyle name="Normal" xfId="0" builtinId="0"/>
  </cellStyles>
  <dxfs count="4">
    <dxf>
      <numFmt numFmtId="164" formatCode="_([$TZS]\ * #,##0_);_([$TZS]\ * \(#,##0\);_([$TZS]\ * &quot;-&quot;_);_(@_)"/>
    </dxf>
    <dxf>
      <numFmt numFmtId="165" formatCode="_([$TZS]\ * #,##0_);_([$TZS]\ * \(#,##0\);_([$TZS]\ * &quot;-&quot;??_);_(@_)"/>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Selling Items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Tables'!$A$3:$A$8</c:f>
              <c:strCache>
                <c:ptCount val="5"/>
                <c:pt idx="0">
                  <c:v>Turmeric &amp; honey soap (T&amp;H)</c:v>
                </c:pt>
                <c:pt idx="1">
                  <c:v>Coffee Soap</c:v>
                </c:pt>
                <c:pt idx="2">
                  <c:v>Carrot Oil Small</c:v>
                </c:pt>
                <c:pt idx="3">
                  <c:v>Hand Lotion</c:v>
                </c:pt>
                <c:pt idx="4">
                  <c:v>Body Butter</c:v>
                </c:pt>
              </c:strCache>
            </c:strRef>
          </c:cat>
          <c:val>
            <c:numRef>
              <c:f>'Pivot Tables'!$B$3:$B$8</c:f>
              <c:numCache>
                <c:formatCode>General</c:formatCode>
                <c:ptCount val="5"/>
                <c:pt idx="0">
                  <c:v>55</c:v>
                </c:pt>
                <c:pt idx="1">
                  <c:v>49</c:v>
                </c:pt>
                <c:pt idx="2">
                  <c:v>43</c:v>
                </c:pt>
                <c:pt idx="3">
                  <c:v>37</c:v>
                </c:pt>
                <c:pt idx="4">
                  <c:v>24</c:v>
                </c:pt>
              </c:numCache>
            </c:numRef>
          </c:val>
          <c:extLst>
            <c:ext xmlns:c16="http://schemas.microsoft.com/office/drawing/2014/chart" uri="{C3380CC4-5D6E-409C-BE32-E72D297353CC}">
              <c16:uniqueId val="{00000000-959A-4E2D-8CD8-F6D13CF055A1}"/>
            </c:ext>
          </c:extLst>
        </c:ser>
        <c:dLbls>
          <c:dLblPos val="outEnd"/>
          <c:showLegendKey val="0"/>
          <c:showVal val="1"/>
          <c:showCatName val="0"/>
          <c:showSerName val="0"/>
          <c:showPercent val="0"/>
          <c:showBubbleSize val="0"/>
        </c:dLbls>
        <c:gapWidth val="219"/>
        <c:overlap val="-27"/>
        <c:axId val="1878639312"/>
        <c:axId val="1878636432"/>
      </c:barChart>
      <c:catAx>
        <c:axId val="187863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8636432"/>
        <c:crosses val="autoZero"/>
        <c:auto val="1"/>
        <c:lblAlgn val="ctr"/>
        <c:lblOffset val="100"/>
        <c:noMultiLvlLbl val="0"/>
      </c:catAx>
      <c:valAx>
        <c:axId val="1878636432"/>
        <c:scaling>
          <c:orientation val="minMax"/>
        </c:scaling>
        <c:delete val="1"/>
        <c:axPos val="l"/>
        <c:numFmt formatCode="General" sourceLinked="1"/>
        <c:majorTickMark val="none"/>
        <c:minorTickMark val="none"/>
        <c:tickLblPos val="nextTo"/>
        <c:crossAx val="187863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5 Selling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Tables'!$A$33:$A$39</c:f>
              <c:strCache>
                <c:ptCount val="6"/>
                <c:pt idx="0">
                  <c:v>Beard wash</c:v>
                </c:pt>
                <c:pt idx="1">
                  <c:v>Face roller</c:v>
                </c:pt>
                <c:pt idx="2">
                  <c:v>Hair Oil</c:v>
                </c:pt>
                <c:pt idx="3">
                  <c:v>Jiwe</c:v>
                </c:pt>
                <c:pt idx="4">
                  <c:v>Body Polish</c:v>
                </c:pt>
                <c:pt idx="5">
                  <c:v>soap dish</c:v>
                </c:pt>
              </c:strCache>
            </c:strRef>
          </c:cat>
          <c:val>
            <c:numRef>
              <c:f>'Pivot Tables'!$B$33:$B$39</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457F-4C10-B855-7C15C8770111}"/>
            </c:ext>
          </c:extLst>
        </c:ser>
        <c:dLbls>
          <c:dLblPos val="outEnd"/>
          <c:showLegendKey val="0"/>
          <c:showVal val="1"/>
          <c:showCatName val="0"/>
          <c:showSerName val="0"/>
          <c:showPercent val="0"/>
          <c:showBubbleSize val="0"/>
        </c:dLbls>
        <c:gapWidth val="219"/>
        <c:overlap val="-27"/>
        <c:axId val="1611462960"/>
        <c:axId val="1609652144"/>
      </c:barChart>
      <c:catAx>
        <c:axId val="161146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09652144"/>
        <c:crosses val="autoZero"/>
        <c:auto val="1"/>
        <c:lblAlgn val="ctr"/>
        <c:lblOffset val="100"/>
        <c:noMultiLvlLbl val="0"/>
      </c:catAx>
      <c:valAx>
        <c:axId val="1609652144"/>
        <c:scaling>
          <c:orientation val="minMax"/>
        </c:scaling>
        <c:delete val="1"/>
        <c:axPos val="l"/>
        <c:numFmt formatCode="General" sourceLinked="1"/>
        <c:majorTickMark val="none"/>
        <c:minorTickMark val="none"/>
        <c:tickLblPos val="nextTo"/>
        <c:crossAx val="161146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Tables!PivotTable4</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5 Revenue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Tables'!$L$25:$L$32</c:f>
              <c:strCache>
                <c:ptCount val="7"/>
                <c:pt idx="0">
                  <c:v>Hair Oil</c:v>
                </c:pt>
                <c:pt idx="1">
                  <c:v>Face roller</c:v>
                </c:pt>
                <c:pt idx="2">
                  <c:v>Beard wash</c:v>
                </c:pt>
                <c:pt idx="3">
                  <c:v>Coffee Soap Small</c:v>
                </c:pt>
                <c:pt idx="4">
                  <c:v>soap dish</c:v>
                </c:pt>
                <c:pt idx="5">
                  <c:v>Coffee Rose</c:v>
                </c:pt>
                <c:pt idx="6">
                  <c:v>Jiwe</c:v>
                </c:pt>
              </c:strCache>
            </c:strRef>
          </c:cat>
          <c:val>
            <c:numRef>
              <c:f>'Pivot Tables'!$M$25:$M$32</c:f>
              <c:numCache>
                <c:formatCode>_([$TZS]\ * #,##0_);_([$TZS]\ * \(#,##0\);_([$TZS]\ * "-"??_);_(@_)</c:formatCode>
                <c:ptCount val="7"/>
                <c:pt idx="0">
                  <c:v>20000</c:v>
                </c:pt>
                <c:pt idx="1">
                  <c:v>20000</c:v>
                </c:pt>
                <c:pt idx="2">
                  <c:v>20000</c:v>
                </c:pt>
                <c:pt idx="3">
                  <c:v>14000</c:v>
                </c:pt>
                <c:pt idx="4">
                  <c:v>10000</c:v>
                </c:pt>
                <c:pt idx="5">
                  <c:v>10000</c:v>
                </c:pt>
                <c:pt idx="6">
                  <c:v>5000</c:v>
                </c:pt>
              </c:numCache>
            </c:numRef>
          </c:val>
          <c:extLst>
            <c:ext xmlns:c16="http://schemas.microsoft.com/office/drawing/2014/chart" uri="{C3380CC4-5D6E-409C-BE32-E72D297353CC}">
              <c16:uniqueId val="{00000000-F073-4AA5-8DB5-CDD4C3BDEDB8}"/>
            </c:ext>
          </c:extLst>
        </c:ser>
        <c:dLbls>
          <c:dLblPos val="outEnd"/>
          <c:showLegendKey val="0"/>
          <c:showVal val="1"/>
          <c:showCatName val="0"/>
          <c:showSerName val="0"/>
          <c:showPercent val="0"/>
          <c:showBubbleSize val="0"/>
        </c:dLbls>
        <c:gapWidth val="219"/>
        <c:overlap val="-27"/>
        <c:axId val="2098013584"/>
        <c:axId val="2098018864"/>
      </c:barChart>
      <c:catAx>
        <c:axId val="209801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98018864"/>
        <c:crosses val="autoZero"/>
        <c:auto val="1"/>
        <c:lblAlgn val="ctr"/>
        <c:lblOffset val="100"/>
        <c:noMultiLvlLbl val="0"/>
      </c:catAx>
      <c:valAx>
        <c:axId val="2098018864"/>
        <c:scaling>
          <c:orientation val="minMax"/>
        </c:scaling>
        <c:delete val="1"/>
        <c:axPos val="l"/>
        <c:numFmt formatCode="_([$TZS]\ * #,##0_);_([$TZS]\ * \(#,##0\);_([$TZS]\ * &quot;-&quot;??_);_(@_)" sourceLinked="1"/>
        <c:majorTickMark val="none"/>
        <c:minorTickMark val="none"/>
        <c:tickLblPos val="nextTo"/>
        <c:crossAx val="209801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5 Revenue Products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c:f>
              <c:strCache>
                <c:ptCount val="1"/>
                <c:pt idx="0">
                  <c:v>Total</c:v>
                </c:pt>
              </c:strCache>
            </c:strRef>
          </c:tx>
          <c:spPr>
            <a:solidFill>
              <a:schemeClr val="accent1"/>
            </a:solidFill>
            <a:ln>
              <a:noFill/>
            </a:ln>
            <a:effectLst/>
          </c:spPr>
          <c:invertIfNegative val="0"/>
          <c:cat>
            <c:strRef>
              <c:f>'Pivot Tables'!$L$4:$L$9</c:f>
              <c:strCache>
                <c:ptCount val="5"/>
                <c:pt idx="0">
                  <c:v>Carrot Oil Small</c:v>
                </c:pt>
                <c:pt idx="1">
                  <c:v>Body Butter</c:v>
                </c:pt>
                <c:pt idx="2">
                  <c:v>Turmeric &amp; honey soap (T&amp;H)</c:v>
                </c:pt>
                <c:pt idx="3">
                  <c:v>Coffee Soap</c:v>
                </c:pt>
                <c:pt idx="4">
                  <c:v>Hand Lotion</c:v>
                </c:pt>
              </c:strCache>
            </c:strRef>
          </c:cat>
          <c:val>
            <c:numRef>
              <c:f>'Pivot Tables'!$M$4:$M$9</c:f>
              <c:numCache>
                <c:formatCode>[&gt;=1000000]"TZS "\ #,##0,,"m";"TZS "\ #,##0,"k"</c:formatCode>
                <c:ptCount val="5"/>
                <c:pt idx="0">
                  <c:v>860000</c:v>
                </c:pt>
                <c:pt idx="1">
                  <c:v>840000</c:v>
                </c:pt>
                <c:pt idx="2">
                  <c:v>550000</c:v>
                </c:pt>
                <c:pt idx="3">
                  <c:v>490000</c:v>
                </c:pt>
                <c:pt idx="4">
                  <c:v>444000</c:v>
                </c:pt>
              </c:numCache>
            </c:numRef>
          </c:val>
          <c:extLst>
            <c:ext xmlns:c16="http://schemas.microsoft.com/office/drawing/2014/chart" uri="{C3380CC4-5D6E-409C-BE32-E72D297353CC}">
              <c16:uniqueId val="{00000000-7F6F-4066-8B8E-91D986F2A412}"/>
            </c:ext>
          </c:extLst>
        </c:ser>
        <c:dLbls>
          <c:showLegendKey val="0"/>
          <c:showVal val="0"/>
          <c:showCatName val="0"/>
          <c:showSerName val="0"/>
          <c:showPercent val="0"/>
          <c:showBubbleSize val="0"/>
        </c:dLbls>
        <c:gapWidth val="219"/>
        <c:overlap val="-27"/>
        <c:axId val="589263248"/>
        <c:axId val="589264080"/>
      </c:barChart>
      <c:catAx>
        <c:axId val="58926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89264080"/>
        <c:crosses val="autoZero"/>
        <c:auto val="1"/>
        <c:lblAlgn val="ctr"/>
        <c:lblOffset val="100"/>
        <c:noMultiLvlLbl val="0"/>
      </c:catAx>
      <c:valAx>
        <c:axId val="589264080"/>
        <c:scaling>
          <c:orientation val="minMax"/>
        </c:scaling>
        <c:delete val="0"/>
        <c:axPos val="l"/>
        <c:numFmt formatCode="[&gt;=1000000]&quot;TZS &quot;\ #,##0,,&quot;m&quot;;&quot;TZS &quot;\ #,##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8926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Trend</a:t>
            </a:r>
            <a:r>
              <a:rPr lang="en-US" b="1" baseline="0">
                <a:solidFill>
                  <a:sysClr val="windowText" lastClr="000000"/>
                </a:solidFill>
              </a:rPr>
              <a:t> By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Tables'!$A$50:$A$53</c:f>
              <c:strCache>
                <c:ptCount val="3"/>
                <c:pt idx="0">
                  <c:v>Oct</c:v>
                </c:pt>
                <c:pt idx="1">
                  <c:v>Nov</c:v>
                </c:pt>
                <c:pt idx="2">
                  <c:v>Dec</c:v>
                </c:pt>
              </c:strCache>
            </c:strRef>
          </c:cat>
          <c:val>
            <c:numRef>
              <c:f>'Pivot Tables'!$B$50:$B$53</c:f>
              <c:numCache>
                <c:formatCode>_([$TZS]\ * #,##0_);_([$TZS]\ * \(#,##0\);_([$TZS]\ * "-"_);_(@_)</c:formatCode>
                <c:ptCount val="3"/>
                <c:pt idx="0">
                  <c:v>2026000</c:v>
                </c:pt>
                <c:pt idx="1">
                  <c:v>1199000</c:v>
                </c:pt>
                <c:pt idx="2">
                  <c:v>3172000</c:v>
                </c:pt>
              </c:numCache>
            </c:numRef>
          </c:val>
          <c:smooth val="0"/>
          <c:extLst>
            <c:ext xmlns:c16="http://schemas.microsoft.com/office/drawing/2014/chart" uri="{C3380CC4-5D6E-409C-BE32-E72D297353CC}">
              <c16:uniqueId val="{00000000-BBC0-4A36-8BDE-B8E583E3AA76}"/>
            </c:ext>
          </c:extLst>
        </c:ser>
        <c:dLbls>
          <c:dLblPos val="t"/>
          <c:showLegendKey val="0"/>
          <c:showVal val="1"/>
          <c:showCatName val="0"/>
          <c:showSerName val="0"/>
          <c:showPercent val="0"/>
          <c:showBubbleSize val="0"/>
        </c:dLbls>
        <c:smooth val="0"/>
        <c:axId val="591161168"/>
        <c:axId val="591164080"/>
      </c:lineChart>
      <c:catAx>
        <c:axId val="59116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91164080"/>
        <c:crosses val="autoZero"/>
        <c:auto val="1"/>
        <c:lblAlgn val="ctr"/>
        <c:lblOffset val="100"/>
        <c:noMultiLvlLbl val="0"/>
      </c:catAx>
      <c:valAx>
        <c:axId val="591164080"/>
        <c:scaling>
          <c:orientation val="minMax"/>
        </c:scaling>
        <c:delete val="0"/>
        <c:axPos val="l"/>
        <c:numFmt formatCode="_([$TZS]\ * #,##0_);_([$TZS]\ * \(#,##0\);_([$TZS]\ *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9116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Selling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00035560071116"/>
          <c:y val="0.20759275237273514"/>
          <c:w val="0.70535433070866127"/>
          <c:h val="0.52684298845733157"/>
        </c:manualLayout>
      </c:layout>
      <c:barChart>
        <c:barDir val="bar"/>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Tables'!$A$3:$A$8</c:f>
              <c:strCache>
                <c:ptCount val="5"/>
                <c:pt idx="0">
                  <c:v>Turmeric &amp; honey soap (T&amp;H)</c:v>
                </c:pt>
                <c:pt idx="1">
                  <c:v>Coffee Soap</c:v>
                </c:pt>
                <c:pt idx="2">
                  <c:v>Carrot Oil Small</c:v>
                </c:pt>
                <c:pt idx="3">
                  <c:v>Hand Lotion</c:v>
                </c:pt>
                <c:pt idx="4">
                  <c:v>Body Butter</c:v>
                </c:pt>
              </c:strCache>
            </c:strRef>
          </c:cat>
          <c:val>
            <c:numRef>
              <c:f>'Pivot Tables'!$B$3:$B$8</c:f>
              <c:numCache>
                <c:formatCode>General</c:formatCode>
                <c:ptCount val="5"/>
                <c:pt idx="0">
                  <c:v>55</c:v>
                </c:pt>
                <c:pt idx="1">
                  <c:v>49</c:v>
                </c:pt>
                <c:pt idx="2">
                  <c:v>43</c:v>
                </c:pt>
                <c:pt idx="3">
                  <c:v>37</c:v>
                </c:pt>
                <c:pt idx="4">
                  <c:v>24</c:v>
                </c:pt>
              </c:numCache>
            </c:numRef>
          </c:val>
          <c:extLst>
            <c:ext xmlns:c16="http://schemas.microsoft.com/office/drawing/2014/chart" uri="{C3380CC4-5D6E-409C-BE32-E72D297353CC}">
              <c16:uniqueId val="{00000000-AD0C-4FCD-A7DB-948ACE8FAB3A}"/>
            </c:ext>
          </c:extLst>
        </c:ser>
        <c:dLbls>
          <c:dLblPos val="outEnd"/>
          <c:showLegendKey val="0"/>
          <c:showVal val="1"/>
          <c:showCatName val="0"/>
          <c:showSerName val="0"/>
          <c:showPercent val="0"/>
          <c:showBubbleSize val="0"/>
        </c:dLbls>
        <c:gapWidth val="219"/>
        <c:axId val="1878639312"/>
        <c:axId val="1878636432"/>
      </c:barChart>
      <c:catAx>
        <c:axId val="187863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78636432"/>
        <c:crosses val="autoZero"/>
        <c:auto val="1"/>
        <c:lblAlgn val="ctr"/>
        <c:lblOffset val="100"/>
        <c:noMultiLvlLbl val="0"/>
      </c:catAx>
      <c:valAx>
        <c:axId val="1878636432"/>
        <c:scaling>
          <c:orientation val="minMax"/>
        </c:scaling>
        <c:delete val="1"/>
        <c:axPos val="b"/>
        <c:numFmt formatCode="General" sourceLinked="1"/>
        <c:majorTickMark val="none"/>
        <c:minorTickMark val="none"/>
        <c:tickLblPos val="nextTo"/>
        <c:crossAx val="187863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Tables!PivotTable2</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5 Selling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Tables'!$A$33:$A$39</c:f>
              <c:strCache>
                <c:ptCount val="6"/>
                <c:pt idx="0">
                  <c:v>Beard wash</c:v>
                </c:pt>
                <c:pt idx="1">
                  <c:v>Face roller</c:v>
                </c:pt>
                <c:pt idx="2">
                  <c:v>Hair Oil</c:v>
                </c:pt>
                <c:pt idx="3">
                  <c:v>Jiwe</c:v>
                </c:pt>
                <c:pt idx="4">
                  <c:v>Body Polish</c:v>
                </c:pt>
                <c:pt idx="5">
                  <c:v>soap dish</c:v>
                </c:pt>
              </c:strCache>
            </c:strRef>
          </c:cat>
          <c:val>
            <c:numRef>
              <c:f>'Pivot Tables'!$B$33:$B$39</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F7FF-453F-B930-BCA2601983D5}"/>
            </c:ext>
          </c:extLst>
        </c:ser>
        <c:dLbls>
          <c:dLblPos val="outEnd"/>
          <c:showLegendKey val="0"/>
          <c:showVal val="1"/>
          <c:showCatName val="0"/>
          <c:showSerName val="0"/>
          <c:showPercent val="0"/>
          <c:showBubbleSize val="0"/>
        </c:dLbls>
        <c:gapWidth val="219"/>
        <c:axId val="1611462960"/>
        <c:axId val="1609652144"/>
      </c:barChart>
      <c:catAx>
        <c:axId val="161146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09652144"/>
        <c:crosses val="autoZero"/>
        <c:auto val="1"/>
        <c:lblAlgn val="ctr"/>
        <c:lblOffset val="100"/>
        <c:noMultiLvlLbl val="0"/>
      </c:catAx>
      <c:valAx>
        <c:axId val="1609652144"/>
        <c:scaling>
          <c:orientation val="minMax"/>
        </c:scaling>
        <c:delete val="1"/>
        <c:axPos val="b"/>
        <c:numFmt formatCode="General" sourceLinked="1"/>
        <c:majorTickMark val="none"/>
        <c:minorTickMark val="none"/>
        <c:tickLblPos val="nextTo"/>
        <c:crossAx val="161146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Tables!PivotTable4</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Revenue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9129257887784"/>
          <c:y val="0.20238265562815175"/>
          <c:w val="0.78496308985287233"/>
          <c:h val="0.61109514252926012"/>
        </c:manualLayout>
      </c:layout>
      <c:barChart>
        <c:barDir val="bar"/>
        <c:grouping val="clustered"/>
        <c:varyColors val="0"/>
        <c:ser>
          <c:idx val="0"/>
          <c:order val="0"/>
          <c:tx>
            <c:strRef>
              <c:f>'Pivot Tables'!$M$24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Tables'!$L$25:$L$32</c:f>
              <c:strCache>
                <c:ptCount val="7"/>
                <c:pt idx="0">
                  <c:v>Hair Oil</c:v>
                </c:pt>
                <c:pt idx="1">
                  <c:v>Face roller</c:v>
                </c:pt>
                <c:pt idx="2">
                  <c:v>Beard wash</c:v>
                </c:pt>
                <c:pt idx="3">
                  <c:v>Coffee Soap Small</c:v>
                </c:pt>
                <c:pt idx="4">
                  <c:v>soap dish</c:v>
                </c:pt>
                <c:pt idx="5">
                  <c:v>Coffee Rose</c:v>
                </c:pt>
                <c:pt idx="6">
                  <c:v>Jiwe</c:v>
                </c:pt>
              </c:strCache>
            </c:strRef>
          </c:cat>
          <c:val>
            <c:numRef>
              <c:f>'Pivot Tables'!$M$25:$M$32</c:f>
              <c:numCache>
                <c:formatCode>_([$TZS]\ * #,##0_);_([$TZS]\ * \(#,##0\);_([$TZS]\ * "-"??_);_(@_)</c:formatCode>
                <c:ptCount val="7"/>
                <c:pt idx="0">
                  <c:v>20000</c:v>
                </c:pt>
                <c:pt idx="1">
                  <c:v>20000</c:v>
                </c:pt>
                <c:pt idx="2">
                  <c:v>20000</c:v>
                </c:pt>
                <c:pt idx="3">
                  <c:v>14000</c:v>
                </c:pt>
                <c:pt idx="4">
                  <c:v>10000</c:v>
                </c:pt>
                <c:pt idx="5">
                  <c:v>10000</c:v>
                </c:pt>
                <c:pt idx="6">
                  <c:v>5000</c:v>
                </c:pt>
              </c:numCache>
            </c:numRef>
          </c:val>
          <c:extLst>
            <c:ext xmlns:c16="http://schemas.microsoft.com/office/drawing/2014/chart" uri="{C3380CC4-5D6E-409C-BE32-E72D297353CC}">
              <c16:uniqueId val="{00000000-9C23-4C12-B55B-6DC859D57EBC}"/>
            </c:ext>
          </c:extLst>
        </c:ser>
        <c:dLbls>
          <c:dLblPos val="outEnd"/>
          <c:showLegendKey val="0"/>
          <c:showVal val="1"/>
          <c:showCatName val="0"/>
          <c:showSerName val="0"/>
          <c:showPercent val="0"/>
          <c:showBubbleSize val="0"/>
        </c:dLbls>
        <c:gapWidth val="219"/>
        <c:axId val="2098013584"/>
        <c:axId val="2098018864"/>
      </c:barChart>
      <c:catAx>
        <c:axId val="209801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2098018864"/>
        <c:crosses val="autoZero"/>
        <c:auto val="1"/>
        <c:lblAlgn val="ctr"/>
        <c:lblOffset val="100"/>
        <c:noMultiLvlLbl val="0"/>
      </c:catAx>
      <c:valAx>
        <c:axId val="2098018864"/>
        <c:scaling>
          <c:orientation val="minMax"/>
        </c:scaling>
        <c:delete val="1"/>
        <c:axPos val="b"/>
        <c:numFmt formatCode="_([$TZS]\ * #,##0_);_([$TZS]\ * \(#,##0\);_([$TZS]\ * &quot;-&quot;??_);_(@_)" sourceLinked="1"/>
        <c:majorTickMark val="none"/>
        <c:minorTickMark val="none"/>
        <c:tickLblPos val="nextTo"/>
        <c:crossAx val="209801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5 Revenue Products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Tables'!$L$4:$L$9</c:f>
              <c:strCache>
                <c:ptCount val="5"/>
                <c:pt idx="0">
                  <c:v>Carrot Oil Small</c:v>
                </c:pt>
                <c:pt idx="1">
                  <c:v>Body Butter</c:v>
                </c:pt>
                <c:pt idx="2">
                  <c:v>Turmeric &amp; honey soap (T&amp;H)</c:v>
                </c:pt>
                <c:pt idx="3">
                  <c:v>Coffee Soap</c:v>
                </c:pt>
                <c:pt idx="4">
                  <c:v>Hand Lotion</c:v>
                </c:pt>
              </c:strCache>
            </c:strRef>
          </c:cat>
          <c:val>
            <c:numRef>
              <c:f>'Pivot Tables'!$M$4:$M$9</c:f>
              <c:numCache>
                <c:formatCode>[&gt;=1000000]"TZS "\ #,##0,,"m";"TZS "\ #,##0,"k"</c:formatCode>
                <c:ptCount val="5"/>
                <c:pt idx="0">
                  <c:v>860000</c:v>
                </c:pt>
                <c:pt idx="1">
                  <c:v>840000</c:v>
                </c:pt>
                <c:pt idx="2">
                  <c:v>550000</c:v>
                </c:pt>
                <c:pt idx="3">
                  <c:v>490000</c:v>
                </c:pt>
                <c:pt idx="4">
                  <c:v>444000</c:v>
                </c:pt>
              </c:numCache>
            </c:numRef>
          </c:val>
          <c:extLst>
            <c:ext xmlns:c16="http://schemas.microsoft.com/office/drawing/2014/chart" uri="{C3380CC4-5D6E-409C-BE32-E72D297353CC}">
              <c16:uniqueId val="{00000000-E390-484B-B355-FD6C29124254}"/>
            </c:ext>
          </c:extLst>
        </c:ser>
        <c:dLbls>
          <c:dLblPos val="outEnd"/>
          <c:showLegendKey val="0"/>
          <c:showVal val="1"/>
          <c:showCatName val="0"/>
          <c:showSerName val="0"/>
          <c:showPercent val="0"/>
          <c:showBubbleSize val="0"/>
        </c:dLbls>
        <c:gapWidth val="219"/>
        <c:axId val="589263248"/>
        <c:axId val="589264080"/>
      </c:barChart>
      <c:catAx>
        <c:axId val="58926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89264080"/>
        <c:crosses val="autoZero"/>
        <c:auto val="1"/>
        <c:lblAlgn val="ctr"/>
        <c:lblOffset val="100"/>
        <c:noMultiLvlLbl val="0"/>
      </c:catAx>
      <c:valAx>
        <c:axId val="589264080"/>
        <c:scaling>
          <c:orientation val="minMax"/>
        </c:scaling>
        <c:delete val="1"/>
        <c:axPos val="b"/>
        <c:numFmt formatCode="[&gt;=1000000]&quot;TZS &quot;\ #,##0,,&quot;m&quot;;&quot;TZS &quot;\ #,##0,&quot;k&quot;" sourceLinked="1"/>
        <c:majorTickMark val="none"/>
        <c:minorTickMark val="none"/>
        <c:tickLblPos val="nextTo"/>
        <c:crossAx val="58926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Trend</a:t>
            </a:r>
            <a:r>
              <a:rPr lang="en-US" b="1" baseline="0">
                <a:solidFill>
                  <a:sysClr val="windowText" lastClr="000000"/>
                </a:solidFill>
              </a:rPr>
              <a:t> By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Tables'!$A$50:$A$53</c:f>
              <c:strCache>
                <c:ptCount val="3"/>
                <c:pt idx="0">
                  <c:v>Oct</c:v>
                </c:pt>
                <c:pt idx="1">
                  <c:v>Nov</c:v>
                </c:pt>
                <c:pt idx="2">
                  <c:v>Dec</c:v>
                </c:pt>
              </c:strCache>
            </c:strRef>
          </c:cat>
          <c:val>
            <c:numRef>
              <c:f>'Pivot Tables'!$B$50:$B$53</c:f>
              <c:numCache>
                <c:formatCode>_([$TZS]\ * #,##0_);_([$TZS]\ * \(#,##0\);_([$TZS]\ * "-"_);_(@_)</c:formatCode>
                <c:ptCount val="3"/>
                <c:pt idx="0">
                  <c:v>2026000</c:v>
                </c:pt>
                <c:pt idx="1">
                  <c:v>1199000</c:v>
                </c:pt>
                <c:pt idx="2">
                  <c:v>3172000</c:v>
                </c:pt>
              </c:numCache>
            </c:numRef>
          </c:val>
          <c:smooth val="0"/>
          <c:extLst>
            <c:ext xmlns:c16="http://schemas.microsoft.com/office/drawing/2014/chart" uri="{C3380CC4-5D6E-409C-BE32-E72D297353CC}">
              <c16:uniqueId val="{00000000-A3F6-4E15-8C4A-C047366551BB}"/>
            </c:ext>
          </c:extLst>
        </c:ser>
        <c:dLbls>
          <c:dLblPos val="t"/>
          <c:showLegendKey val="0"/>
          <c:showVal val="1"/>
          <c:showCatName val="0"/>
          <c:showSerName val="0"/>
          <c:showPercent val="0"/>
          <c:showBubbleSize val="0"/>
        </c:dLbls>
        <c:smooth val="0"/>
        <c:axId val="591161168"/>
        <c:axId val="591164080"/>
      </c:lineChart>
      <c:catAx>
        <c:axId val="59116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591164080"/>
        <c:crosses val="autoZero"/>
        <c:auto val="1"/>
        <c:lblAlgn val="ctr"/>
        <c:lblOffset val="100"/>
        <c:noMultiLvlLbl val="0"/>
      </c:catAx>
      <c:valAx>
        <c:axId val="591164080"/>
        <c:scaling>
          <c:orientation val="minMax"/>
        </c:scaling>
        <c:delete val="1"/>
        <c:axPos val="l"/>
        <c:numFmt formatCode="_([$TZS]\ * #,##0_);_([$TZS]\ * \(#,##0\);_([$TZS]\ * &quot;-&quot;_);_(@_)" sourceLinked="1"/>
        <c:majorTickMark val="none"/>
        <c:minorTickMark val="none"/>
        <c:tickLblPos val="nextTo"/>
        <c:crossAx val="59116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jfif"/><Relationship Id="rId3" Type="http://schemas.openxmlformats.org/officeDocument/2006/relationships/chart" Target="../charts/chart7.xml"/><Relationship Id="rId7" Type="http://schemas.openxmlformats.org/officeDocument/2006/relationships/chart" Target="../charts/chart9.xml"/><Relationship Id="rId12" Type="http://schemas.openxmlformats.org/officeDocument/2006/relationships/chart" Target="../charts/chart10.xml"/><Relationship Id="rId2" Type="http://schemas.openxmlformats.org/officeDocument/2006/relationships/chart" Target="../charts/chart6.xml"/><Relationship Id="rId1" Type="http://schemas.openxmlformats.org/officeDocument/2006/relationships/hyperlink" Target="#Sales!A1"/><Relationship Id="rId6" Type="http://schemas.openxmlformats.org/officeDocument/2006/relationships/hyperlink" Target="#'Executive Summary'!A1"/><Relationship Id="rId11" Type="http://schemas.openxmlformats.org/officeDocument/2006/relationships/image" Target="../media/image4.png"/><Relationship Id="rId5" Type="http://schemas.openxmlformats.org/officeDocument/2006/relationships/hyperlink" Target="#PriceTable!A1"/><Relationship Id="rId10" Type="http://schemas.openxmlformats.org/officeDocument/2006/relationships/image" Target="../media/image3.png"/><Relationship Id="rId4" Type="http://schemas.openxmlformats.org/officeDocument/2006/relationships/chart" Target="../charts/chart8.xml"/><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266700</xdr:colOff>
      <xdr:row>2</xdr:row>
      <xdr:rowOff>125730</xdr:rowOff>
    </xdr:from>
    <xdr:to>
      <xdr:col>9</xdr:col>
      <xdr:colOff>569595</xdr:colOff>
      <xdr:row>17</xdr:row>
      <xdr:rowOff>152400</xdr:rowOff>
    </xdr:to>
    <xdr:graphicFrame macro="">
      <xdr:nvGraphicFramePr>
        <xdr:cNvPr id="2" name="Chart 1">
          <a:extLst>
            <a:ext uri="{FF2B5EF4-FFF2-40B4-BE49-F238E27FC236}">
              <a16:creationId xmlns:a16="http://schemas.microsoft.com/office/drawing/2014/main" id="{A72BEDA7-BFA8-D190-53A8-04B06506B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462915</xdr:colOff>
      <xdr:row>19</xdr:row>
      <xdr:rowOff>93345</xdr:rowOff>
    </xdr:from>
    <xdr:to>
      <xdr:col>9</xdr:col>
      <xdr:colOff>262890</xdr:colOff>
      <xdr:row>34</xdr:row>
      <xdr:rowOff>120015</xdr:rowOff>
    </xdr:to>
    <xdr:graphicFrame macro="">
      <xdr:nvGraphicFramePr>
        <xdr:cNvPr id="3" name="Chart 2">
          <a:extLst>
            <a:ext uri="{FF2B5EF4-FFF2-40B4-BE49-F238E27FC236}">
              <a16:creationId xmlns:a16="http://schemas.microsoft.com/office/drawing/2014/main" id="{64B6113A-07BF-B77F-9C4B-597DBDCFC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154305</xdr:colOff>
      <xdr:row>19</xdr:row>
      <xdr:rowOff>17145</xdr:rowOff>
    </xdr:from>
    <xdr:to>
      <xdr:col>20</xdr:col>
      <xdr:colOff>26670</xdr:colOff>
      <xdr:row>34</xdr:row>
      <xdr:rowOff>43815</xdr:rowOff>
    </xdr:to>
    <xdr:graphicFrame macro="">
      <xdr:nvGraphicFramePr>
        <xdr:cNvPr id="5" name="Chart 4">
          <a:extLst>
            <a:ext uri="{FF2B5EF4-FFF2-40B4-BE49-F238E27FC236}">
              <a16:creationId xmlns:a16="http://schemas.microsoft.com/office/drawing/2014/main" id="{CAC79D3E-E733-B93A-E26A-DA40281BE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866384</xdr:colOff>
      <xdr:row>1</xdr:row>
      <xdr:rowOff>121085</xdr:rowOff>
    </xdr:from>
    <xdr:to>
      <xdr:col>21</xdr:col>
      <xdr:colOff>167014</xdr:colOff>
      <xdr:row>16</xdr:row>
      <xdr:rowOff>45928</xdr:rowOff>
    </xdr:to>
    <xdr:graphicFrame macro="">
      <xdr:nvGraphicFramePr>
        <xdr:cNvPr id="8" name="Chart 7">
          <a:extLst>
            <a:ext uri="{FF2B5EF4-FFF2-40B4-BE49-F238E27FC236}">
              <a16:creationId xmlns:a16="http://schemas.microsoft.com/office/drawing/2014/main" id="{7201A450-376A-43E4-B4F5-26DD962E0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339247</xdr:colOff>
      <xdr:row>36</xdr:row>
      <xdr:rowOff>59865</xdr:rowOff>
    </xdr:from>
    <xdr:to>
      <xdr:col>14</xdr:col>
      <xdr:colOff>58404</xdr:colOff>
      <xdr:row>49</xdr:row>
      <xdr:rowOff>22286</xdr:rowOff>
    </xdr:to>
    <xdr:graphicFrame macro="">
      <xdr:nvGraphicFramePr>
        <xdr:cNvPr id="9" name="Chart 8">
          <a:extLst>
            <a:ext uri="{FF2B5EF4-FFF2-40B4-BE49-F238E27FC236}">
              <a16:creationId xmlns:a16="http://schemas.microsoft.com/office/drawing/2014/main" id="{C9AD6549-2441-4946-80C4-219CCB5A3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209126</xdr:colOff>
      <xdr:row>3</xdr:row>
      <xdr:rowOff>22011</xdr:rowOff>
    </xdr:from>
    <xdr:to>
      <xdr:col>19</xdr:col>
      <xdr:colOff>402167</xdr:colOff>
      <xdr:row>35</xdr:row>
      <xdr:rowOff>31749</xdr:rowOff>
    </xdr:to>
    <xdr:sp macro="" textlink="">
      <xdr:nvSpPr>
        <xdr:cNvPr id="3" name="Rectangle: Rounded Corners 2">
          <a:extLst>
            <a:ext uri="{FF2B5EF4-FFF2-40B4-BE49-F238E27FC236}">
              <a16:creationId xmlns:a16="http://schemas.microsoft.com/office/drawing/2014/main" id="{ACC04176-836A-E43C-7C39-7E77447A296E}"/>
            </a:ext>
          </a:extLst>
        </xdr:cNvPr>
        <xdr:cNvSpPr/>
      </xdr:nvSpPr>
      <xdr:spPr>
        <a:xfrm>
          <a:off x="209126" y="561761"/>
          <a:ext cx="11855874" cy="57670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57785</xdr:colOff>
      <xdr:row>3</xdr:row>
      <xdr:rowOff>88476</xdr:rowOff>
    </xdr:from>
    <xdr:to>
      <xdr:col>11</xdr:col>
      <xdr:colOff>400261</xdr:colOff>
      <xdr:row>5</xdr:row>
      <xdr:rowOff>176107</xdr:rowOff>
    </xdr:to>
    <xdr:sp macro="" textlink="">
      <xdr:nvSpPr>
        <xdr:cNvPr id="6" name="Rectangle 5">
          <a:extLst>
            <a:ext uri="{FF2B5EF4-FFF2-40B4-BE49-F238E27FC236}">
              <a16:creationId xmlns:a16="http://schemas.microsoft.com/office/drawing/2014/main" id="{EF48D38A-6F50-4022-B1F9-1956D7225230}"/>
            </a:ext>
          </a:extLst>
        </xdr:cNvPr>
        <xdr:cNvSpPr/>
      </xdr:nvSpPr>
      <xdr:spPr>
        <a:xfrm>
          <a:off x="2513118" y="628226"/>
          <a:ext cx="4639310" cy="447464"/>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000" b="1"/>
            <a:t>Nana Naturals Q4 Sales Analysis</a:t>
          </a:r>
          <a:r>
            <a:rPr lang="en-US" sz="2000" b="1" baseline="0"/>
            <a:t> (2025)</a:t>
          </a:r>
          <a:endParaRPr lang="en-US" sz="2000" b="1"/>
        </a:p>
      </xdr:txBody>
    </xdr:sp>
    <xdr:clientData/>
  </xdr:twoCellAnchor>
  <xdr:twoCellAnchor>
    <xdr:from>
      <xdr:col>0</xdr:col>
      <xdr:colOff>392429</xdr:colOff>
      <xdr:row>8</xdr:row>
      <xdr:rowOff>28574</xdr:rowOff>
    </xdr:from>
    <xdr:to>
      <xdr:col>2</xdr:col>
      <xdr:colOff>251458</xdr:colOff>
      <xdr:row>33</xdr:row>
      <xdr:rowOff>171446</xdr:rowOff>
    </xdr:to>
    <xdr:sp macro="" textlink="">
      <xdr:nvSpPr>
        <xdr:cNvPr id="10" name="Rectangle: Top Corners Rounded 9">
          <a:hlinkClick xmlns:r="http://schemas.openxmlformats.org/officeDocument/2006/relationships" r:id="rId1"/>
          <a:extLst>
            <a:ext uri="{FF2B5EF4-FFF2-40B4-BE49-F238E27FC236}">
              <a16:creationId xmlns:a16="http://schemas.microsoft.com/office/drawing/2014/main" id="{072BEF6C-F894-89D0-2890-480FB228FC2F}"/>
            </a:ext>
          </a:extLst>
        </xdr:cNvPr>
        <xdr:cNvSpPr/>
      </xdr:nvSpPr>
      <xdr:spPr>
        <a:xfrm rot="10800000">
          <a:off x="392429" y="1476374"/>
          <a:ext cx="1078229" cy="4667247"/>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123190</xdr:colOff>
      <xdr:row>10</xdr:row>
      <xdr:rowOff>155729</xdr:rowOff>
    </xdr:from>
    <xdr:to>
      <xdr:col>8</xdr:col>
      <xdr:colOff>266489</xdr:colOff>
      <xdr:row>23</xdr:row>
      <xdr:rowOff>9237</xdr:rowOff>
    </xdr:to>
    <xdr:graphicFrame macro="">
      <xdr:nvGraphicFramePr>
        <xdr:cNvPr id="11" name="Chart 10">
          <a:extLst>
            <a:ext uri="{FF2B5EF4-FFF2-40B4-BE49-F238E27FC236}">
              <a16:creationId xmlns:a16="http://schemas.microsoft.com/office/drawing/2014/main" id="{5969600D-190E-40BB-BD6C-74B6F38B9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240452</xdr:colOff>
      <xdr:row>10</xdr:row>
      <xdr:rowOff>44874</xdr:rowOff>
    </xdr:from>
    <xdr:to>
      <xdr:col>13</xdr:col>
      <xdr:colOff>442596</xdr:colOff>
      <xdr:row>20</xdr:row>
      <xdr:rowOff>95251</xdr:rowOff>
    </xdr:to>
    <xdr:graphicFrame macro="">
      <xdr:nvGraphicFramePr>
        <xdr:cNvPr id="13" name="Chart 12">
          <a:extLst>
            <a:ext uri="{FF2B5EF4-FFF2-40B4-BE49-F238E27FC236}">
              <a16:creationId xmlns:a16="http://schemas.microsoft.com/office/drawing/2014/main" id="{392844BC-AEB1-4E93-A027-C4E1C8BC8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488949</xdr:colOff>
      <xdr:row>21</xdr:row>
      <xdr:rowOff>143933</xdr:rowOff>
    </xdr:from>
    <xdr:to>
      <xdr:col>18</xdr:col>
      <xdr:colOff>575311</xdr:colOff>
      <xdr:row>34</xdr:row>
      <xdr:rowOff>126788</xdr:rowOff>
    </xdr:to>
    <xdr:graphicFrame macro="">
      <xdr:nvGraphicFramePr>
        <xdr:cNvPr id="14" name="Chart 13">
          <a:extLst>
            <a:ext uri="{FF2B5EF4-FFF2-40B4-BE49-F238E27FC236}">
              <a16:creationId xmlns:a16="http://schemas.microsoft.com/office/drawing/2014/main" id="{78FE3D9A-DC3A-4FE5-9A59-C85ABA9D9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448957</xdr:colOff>
      <xdr:row>15</xdr:row>
      <xdr:rowOff>91440</xdr:rowOff>
    </xdr:from>
    <xdr:to>
      <xdr:col>2</xdr:col>
      <xdr:colOff>207022</xdr:colOff>
      <xdr:row>17</xdr:row>
      <xdr:rowOff>20954</xdr:rowOff>
    </xdr:to>
    <xdr:sp macro="" textlink="">
      <xdr:nvSpPr>
        <xdr:cNvPr id="15" name="TextBox 14">
          <a:extLst>
            <a:ext uri="{FF2B5EF4-FFF2-40B4-BE49-F238E27FC236}">
              <a16:creationId xmlns:a16="http://schemas.microsoft.com/office/drawing/2014/main" id="{08BFC6B7-71AA-A1D5-FA5B-8A5D2B8DE396}"/>
            </a:ext>
          </a:extLst>
        </xdr:cNvPr>
        <xdr:cNvSpPr txBox="1"/>
      </xdr:nvSpPr>
      <xdr:spPr>
        <a:xfrm>
          <a:off x="448957" y="2762001"/>
          <a:ext cx="968719" cy="285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Sales Sheet</a:t>
          </a:r>
        </a:p>
      </xdr:txBody>
    </xdr:sp>
    <xdr:clientData/>
  </xdr:twoCellAnchor>
  <xdr:twoCellAnchor>
    <xdr:from>
      <xdr:col>0</xdr:col>
      <xdr:colOff>456647</xdr:colOff>
      <xdr:row>10</xdr:row>
      <xdr:rowOff>17767</xdr:rowOff>
    </xdr:from>
    <xdr:to>
      <xdr:col>2</xdr:col>
      <xdr:colOff>214712</xdr:colOff>
      <xdr:row>11</xdr:row>
      <xdr:rowOff>135877</xdr:rowOff>
    </xdr:to>
    <xdr:sp macro="" textlink="">
      <xdr:nvSpPr>
        <xdr:cNvPr id="18" name="TextBox 17">
          <a:hlinkClick xmlns:r="http://schemas.openxmlformats.org/officeDocument/2006/relationships" r:id="rId5"/>
          <a:extLst>
            <a:ext uri="{FF2B5EF4-FFF2-40B4-BE49-F238E27FC236}">
              <a16:creationId xmlns:a16="http://schemas.microsoft.com/office/drawing/2014/main" id="{3A540E9F-A83B-481E-B72B-78DB5A3CA76C}"/>
            </a:ext>
          </a:extLst>
        </xdr:cNvPr>
        <xdr:cNvSpPr txBox="1"/>
      </xdr:nvSpPr>
      <xdr:spPr>
        <a:xfrm>
          <a:off x="456647" y="1798141"/>
          <a:ext cx="968719" cy="2961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Price Table</a:t>
          </a:r>
        </a:p>
      </xdr:txBody>
    </xdr:sp>
    <xdr:clientData/>
  </xdr:twoCellAnchor>
  <xdr:twoCellAnchor>
    <xdr:from>
      <xdr:col>0</xdr:col>
      <xdr:colOff>436868</xdr:colOff>
      <xdr:row>20</xdr:row>
      <xdr:rowOff>28432</xdr:rowOff>
    </xdr:from>
    <xdr:to>
      <xdr:col>2</xdr:col>
      <xdr:colOff>208268</xdr:colOff>
      <xdr:row>22</xdr:row>
      <xdr:rowOff>169136</xdr:rowOff>
    </xdr:to>
    <xdr:sp macro="" textlink="">
      <xdr:nvSpPr>
        <xdr:cNvPr id="20" name="TextBox 19">
          <a:hlinkClick xmlns:r="http://schemas.openxmlformats.org/officeDocument/2006/relationships" r:id="rId6"/>
          <a:extLst>
            <a:ext uri="{FF2B5EF4-FFF2-40B4-BE49-F238E27FC236}">
              <a16:creationId xmlns:a16="http://schemas.microsoft.com/office/drawing/2014/main" id="{D893D05D-EC38-4D5E-9D9A-DA72B70589FF}"/>
            </a:ext>
          </a:extLst>
        </xdr:cNvPr>
        <xdr:cNvSpPr txBox="1"/>
      </xdr:nvSpPr>
      <xdr:spPr>
        <a:xfrm>
          <a:off x="436868" y="3589180"/>
          <a:ext cx="982054" cy="496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Executive</a:t>
          </a:r>
          <a:r>
            <a:rPr lang="en-US" sz="1100" b="1" baseline="0">
              <a:solidFill>
                <a:schemeClr val="tx1"/>
              </a:solidFill>
            </a:rPr>
            <a:t> Summary</a:t>
          </a:r>
          <a:endParaRPr lang="en-US" sz="1100" b="1">
            <a:solidFill>
              <a:schemeClr val="tx1"/>
            </a:solidFill>
          </a:endParaRPr>
        </a:p>
      </xdr:txBody>
    </xdr:sp>
    <xdr:clientData/>
  </xdr:twoCellAnchor>
  <xdr:twoCellAnchor editAs="oneCell">
    <xdr:from>
      <xdr:col>9</xdr:col>
      <xdr:colOff>145068</xdr:colOff>
      <xdr:row>23</xdr:row>
      <xdr:rowOff>43603</xdr:rowOff>
    </xdr:from>
    <xdr:to>
      <xdr:col>11</xdr:col>
      <xdr:colOff>342476</xdr:colOff>
      <xdr:row>32</xdr:row>
      <xdr:rowOff>169333</xdr:rowOff>
    </xdr:to>
    <mc:AlternateContent xmlns:mc="http://schemas.openxmlformats.org/markup-compatibility/2006" xmlns:a14="http://schemas.microsoft.com/office/drawing/2010/main">
      <mc:Choice Requires="a14">
        <xdr:graphicFrame macro="">
          <xdr:nvGraphicFramePr>
            <xdr:cNvPr id="21" name="Month 1">
              <a:extLst>
                <a:ext uri="{FF2B5EF4-FFF2-40B4-BE49-F238E27FC236}">
                  <a16:creationId xmlns:a16="http://schemas.microsoft.com/office/drawing/2014/main" id="{BE298588-99E2-4FFE-B861-4BB0C95D876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631468" y="4327736"/>
              <a:ext cx="1416608" cy="1802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571499</xdr:colOff>
      <xdr:row>20</xdr:row>
      <xdr:rowOff>162771</xdr:rowOff>
    </xdr:from>
    <xdr:to>
      <xdr:col>8</xdr:col>
      <xdr:colOff>370262</xdr:colOff>
      <xdr:row>34</xdr:row>
      <xdr:rowOff>50221</xdr:rowOff>
    </xdr:to>
    <xdr:graphicFrame macro="">
      <xdr:nvGraphicFramePr>
        <xdr:cNvPr id="16" name="Chart 15">
          <a:extLst>
            <a:ext uri="{FF2B5EF4-FFF2-40B4-BE49-F238E27FC236}">
              <a16:creationId xmlns:a16="http://schemas.microsoft.com/office/drawing/2014/main" id="{EA2C79D4-FDF2-4684-AA85-F8CA4C109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174201</xdr:colOff>
      <xdr:row>6</xdr:row>
      <xdr:rowOff>21168</xdr:rowOff>
    </xdr:from>
    <xdr:to>
      <xdr:col>5</xdr:col>
      <xdr:colOff>374226</xdr:colOff>
      <xdr:row>9</xdr:row>
      <xdr:rowOff>92287</xdr:rowOff>
    </xdr:to>
    <xdr:sp macro="" textlink="">
      <xdr:nvSpPr>
        <xdr:cNvPr id="2" name="TextBox 1">
          <a:extLst>
            <a:ext uri="{FF2B5EF4-FFF2-40B4-BE49-F238E27FC236}">
              <a16:creationId xmlns:a16="http://schemas.microsoft.com/office/drawing/2014/main" id="{711813BE-8D2F-43CA-AD1C-12B0519523AF}"/>
            </a:ext>
          </a:extLst>
        </xdr:cNvPr>
        <xdr:cNvSpPr txBox="1"/>
      </xdr:nvSpPr>
      <xdr:spPr>
        <a:xfrm>
          <a:off x="2015701" y="1100668"/>
          <a:ext cx="1427692" cy="6108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Revenue </a:t>
          </a:r>
        </a:p>
        <a:p>
          <a:pPr algn="ctr"/>
          <a:r>
            <a:rPr lang="en-US" sz="1400" b="1" baseline="0"/>
            <a:t>TZS 6,397,000</a:t>
          </a:r>
        </a:p>
        <a:p>
          <a:endParaRPr lang="en-US" sz="1100"/>
        </a:p>
      </xdr:txBody>
    </xdr:sp>
    <xdr:clientData/>
  </xdr:twoCellAnchor>
  <xdr:twoCellAnchor>
    <xdr:from>
      <xdr:col>7</xdr:col>
      <xdr:colOff>213571</xdr:colOff>
      <xdr:row>6</xdr:row>
      <xdr:rowOff>132926</xdr:rowOff>
    </xdr:from>
    <xdr:to>
      <xdr:col>9</xdr:col>
      <xdr:colOff>305011</xdr:colOff>
      <xdr:row>9</xdr:row>
      <xdr:rowOff>169334</xdr:rowOff>
    </xdr:to>
    <xdr:sp macro="" textlink="">
      <xdr:nvSpPr>
        <xdr:cNvPr id="7" name="TextBox 6">
          <a:extLst>
            <a:ext uri="{FF2B5EF4-FFF2-40B4-BE49-F238E27FC236}">
              <a16:creationId xmlns:a16="http://schemas.microsoft.com/office/drawing/2014/main" id="{DE9D6E61-D47C-4D1C-AADB-0FC43009F5C5}"/>
            </a:ext>
          </a:extLst>
        </xdr:cNvPr>
        <xdr:cNvSpPr txBox="1"/>
      </xdr:nvSpPr>
      <xdr:spPr>
        <a:xfrm>
          <a:off x="4510404" y="1212426"/>
          <a:ext cx="1319107" cy="5761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Units</a:t>
          </a:r>
        </a:p>
        <a:p>
          <a:pPr algn="ctr"/>
          <a:r>
            <a:rPr lang="en-US" sz="1400" b="1" baseline="0"/>
            <a:t>208</a:t>
          </a:r>
          <a:endParaRPr lang="en-US" sz="1400" b="1"/>
        </a:p>
      </xdr:txBody>
    </xdr:sp>
    <xdr:clientData/>
  </xdr:twoCellAnchor>
  <xdr:twoCellAnchor>
    <xdr:from>
      <xdr:col>11</xdr:col>
      <xdr:colOff>162560</xdr:colOff>
      <xdr:row>6</xdr:row>
      <xdr:rowOff>46143</xdr:rowOff>
    </xdr:from>
    <xdr:to>
      <xdr:col>13</xdr:col>
      <xdr:colOff>453179</xdr:colOff>
      <xdr:row>9</xdr:row>
      <xdr:rowOff>46143</xdr:rowOff>
    </xdr:to>
    <xdr:sp macro="" textlink="">
      <xdr:nvSpPr>
        <xdr:cNvPr id="8" name="TextBox 7">
          <a:extLst>
            <a:ext uri="{FF2B5EF4-FFF2-40B4-BE49-F238E27FC236}">
              <a16:creationId xmlns:a16="http://schemas.microsoft.com/office/drawing/2014/main" id="{940DF03D-72B6-4C06-817E-3BC40E735542}"/>
            </a:ext>
          </a:extLst>
        </xdr:cNvPr>
        <xdr:cNvSpPr txBox="1"/>
      </xdr:nvSpPr>
      <xdr:spPr>
        <a:xfrm>
          <a:off x="6914727" y="1125643"/>
          <a:ext cx="1518285" cy="53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Top Units</a:t>
          </a:r>
        </a:p>
        <a:p>
          <a:pPr algn="ctr"/>
          <a:r>
            <a:rPr lang="en-US" sz="1400" b="1"/>
            <a:t>Turmeric Soap 55</a:t>
          </a:r>
        </a:p>
      </xdr:txBody>
    </xdr:sp>
    <xdr:clientData/>
  </xdr:twoCellAnchor>
  <xdr:twoCellAnchor>
    <xdr:from>
      <xdr:col>16</xdr:col>
      <xdr:colOff>220346</xdr:colOff>
      <xdr:row>6</xdr:row>
      <xdr:rowOff>75989</xdr:rowOff>
    </xdr:from>
    <xdr:to>
      <xdr:col>18</xdr:col>
      <xdr:colOff>273262</xdr:colOff>
      <xdr:row>9</xdr:row>
      <xdr:rowOff>75989</xdr:rowOff>
    </xdr:to>
    <xdr:sp macro="" textlink="">
      <xdr:nvSpPr>
        <xdr:cNvPr id="9" name="TextBox 8">
          <a:extLst>
            <a:ext uri="{FF2B5EF4-FFF2-40B4-BE49-F238E27FC236}">
              <a16:creationId xmlns:a16="http://schemas.microsoft.com/office/drawing/2014/main" id="{A83BC72E-B2FA-47B9-ADF7-E5FF00E0B7B2}"/>
            </a:ext>
          </a:extLst>
        </xdr:cNvPr>
        <xdr:cNvSpPr txBox="1"/>
      </xdr:nvSpPr>
      <xdr:spPr>
        <a:xfrm>
          <a:off x="10041679" y="1155489"/>
          <a:ext cx="1280583" cy="53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Dec Peak</a:t>
          </a:r>
        </a:p>
        <a:p>
          <a:pPr algn="ctr"/>
          <a:r>
            <a:rPr lang="en-US" sz="1400" b="1"/>
            <a:t>TZS 3,172,000</a:t>
          </a:r>
        </a:p>
        <a:p>
          <a:endParaRPr lang="en-US" sz="1100"/>
        </a:p>
      </xdr:txBody>
    </xdr:sp>
    <xdr:clientData/>
  </xdr:twoCellAnchor>
  <xdr:twoCellAnchor editAs="oneCell">
    <xdr:from>
      <xdr:col>15</xdr:col>
      <xdr:colOff>21169</xdr:colOff>
      <xdr:row>5</xdr:row>
      <xdr:rowOff>173143</xdr:rowOff>
    </xdr:from>
    <xdr:to>
      <xdr:col>16</xdr:col>
      <xdr:colOff>188596</xdr:colOff>
      <xdr:row>9</xdr:row>
      <xdr:rowOff>41697</xdr:rowOff>
    </xdr:to>
    <xdr:pic>
      <xdr:nvPicPr>
        <xdr:cNvPr id="17" name="Picture 16">
          <a:extLst>
            <a:ext uri="{FF2B5EF4-FFF2-40B4-BE49-F238E27FC236}">
              <a16:creationId xmlns:a16="http://schemas.microsoft.com/office/drawing/2014/main" id="{17809428-BF21-4FA1-8C92-42E9561480F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228669" y="1072726"/>
          <a:ext cx="781260" cy="588221"/>
        </a:xfrm>
        <a:prstGeom prst="rect">
          <a:avLst/>
        </a:prstGeom>
      </xdr:spPr>
    </xdr:pic>
    <xdr:clientData/>
  </xdr:twoCellAnchor>
  <xdr:twoCellAnchor editAs="oneCell">
    <xdr:from>
      <xdr:col>10</xdr:col>
      <xdr:colOff>59691</xdr:colOff>
      <xdr:row>6</xdr:row>
      <xdr:rowOff>35559</xdr:rowOff>
    </xdr:from>
    <xdr:to>
      <xdr:col>11</xdr:col>
      <xdr:colOff>168276</xdr:colOff>
      <xdr:row>9</xdr:row>
      <xdr:rowOff>124036</xdr:rowOff>
    </xdr:to>
    <xdr:pic>
      <xdr:nvPicPr>
        <xdr:cNvPr id="22" name="Picture 21">
          <a:extLst>
            <a:ext uri="{FF2B5EF4-FFF2-40B4-BE49-F238E27FC236}">
              <a16:creationId xmlns:a16="http://schemas.microsoft.com/office/drawing/2014/main" id="{DD32BBA5-0A60-4B8F-A494-0C03E6AF66A8}"/>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21805" t="9949" r="22187" b="12105"/>
        <a:stretch/>
      </xdr:blipFill>
      <xdr:spPr>
        <a:xfrm>
          <a:off x="6198024" y="1115059"/>
          <a:ext cx="716704" cy="624417"/>
        </a:xfrm>
        <a:prstGeom prst="rect">
          <a:avLst/>
        </a:prstGeom>
      </xdr:spPr>
    </xdr:pic>
    <xdr:clientData/>
  </xdr:twoCellAnchor>
  <xdr:twoCellAnchor editAs="oneCell">
    <xdr:from>
      <xdr:col>6</xdr:col>
      <xdr:colOff>125095</xdr:colOff>
      <xdr:row>5</xdr:row>
      <xdr:rowOff>175048</xdr:rowOff>
    </xdr:from>
    <xdr:to>
      <xdr:col>7</xdr:col>
      <xdr:colOff>292523</xdr:colOff>
      <xdr:row>9</xdr:row>
      <xdr:rowOff>61736</xdr:rowOff>
    </xdr:to>
    <xdr:pic>
      <xdr:nvPicPr>
        <xdr:cNvPr id="24" name="Picture 23">
          <a:extLst>
            <a:ext uri="{FF2B5EF4-FFF2-40B4-BE49-F238E27FC236}">
              <a16:creationId xmlns:a16="http://schemas.microsoft.com/office/drawing/2014/main" id="{B8493D66-E083-40A2-8A17-B28962A4204D}"/>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5077" t="14605" r="5172" b="20703"/>
        <a:stretch/>
      </xdr:blipFill>
      <xdr:spPr>
        <a:xfrm>
          <a:off x="3808095" y="1074631"/>
          <a:ext cx="781261" cy="606355"/>
        </a:xfrm>
        <a:prstGeom prst="rect">
          <a:avLst/>
        </a:prstGeom>
      </xdr:spPr>
    </xdr:pic>
    <xdr:clientData/>
  </xdr:twoCellAnchor>
  <xdr:twoCellAnchor editAs="oneCell">
    <xdr:from>
      <xdr:col>2</xdr:col>
      <xdr:colOff>252094</xdr:colOff>
      <xdr:row>6</xdr:row>
      <xdr:rowOff>17356</xdr:rowOff>
    </xdr:from>
    <xdr:to>
      <xdr:col>3</xdr:col>
      <xdr:colOff>236643</xdr:colOff>
      <xdr:row>9</xdr:row>
      <xdr:rowOff>5716</xdr:rowOff>
    </xdr:to>
    <xdr:pic>
      <xdr:nvPicPr>
        <xdr:cNvPr id="27" name="Picture 26">
          <a:extLst>
            <a:ext uri="{FF2B5EF4-FFF2-40B4-BE49-F238E27FC236}">
              <a16:creationId xmlns:a16="http://schemas.microsoft.com/office/drawing/2014/main" id="{BA7869FE-67BC-4CA1-A8FA-6F73A0C75B2A}"/>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15990" t="18654" r="15873" b="30281"/>
        <a:stretch/>
      </xdr:blipFill>
      <xdr:spPr>
        <a:xfrm>
          <a:off x="1479761" y="1096856"/>
          <a:ext cx="598382" cy="528110"/>
        </a:xfrm>
        <a:prstGeom prst="rect">
          <a:avLst/>
        </a:prstGeom>
      </xdr:spPr>
    </xdr:pic>
    <xdr:clientData/>
  </xdr:twoCellAnchor>
  <xdr:twoCellAnchor>
    <xdr:from>
      <xdr:col>13</xdr:col>
      <xdr:colOff>285749</xdr:colOff>
      <xdr:row>10</xdr:row>
      <xdr:rowOff>123190</xdr:rowOff>
    </xdr:from>
    <xdr:to>
      <xdr:col>19</xdr:col>
      <xdr:colOff>285751</xdr:colOff>
      <xdr:row>19</xdr:row>
      <xdr:rowOff>165523</xdr:rowOff>
    </xdr:to>
    <xdr:graphicFrame macro="">
      <xdr:nvGraphicFramePr>
        <xdr:cNvPr id="28" name="Chart 27">
          <a:extLst>
            <a:ext uri="{FF2B5EF4-FFF2-40B4-BE49-F238E27FC236}">
              <a16:creationId xmlns:a16="http://schemas.microsoft.com/office/drawing/2014/main" id="{D8449262-E8C2-46A4-92E3-D2E78FFE2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163829</xdr:colOff>
      <xdr:row>2</xdr:row>
      <xdr:rowOff>114300</xdr:rowOff>
    </xdr:from>
    <xdr:to>
      <xdr:col>11</xdr:col>
      <xdr:colOff>209550</xdr:colOff>
      <xdr:row>35</xdr:row>
      <xdr:rowOff>59055</xdr:rowOff>
    </xdr:to>
    <xdr:pic>
      <xdr:nvPicPr>
        <xdr:cNvPr id="4" name="Picture 3">
          <a:extLst>
            <a:ext uri="{FF2B5EF4-FFF2-40B4-BE49-F238E27FC236}">
              <a16:creationId xmlns:a16="http://schemas.microsoft.com/office/drawing/2014/main" id="{D4B2C57D-72A0-469A-9918-26C082745E6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317" r="7033" b="41182"/>
        <a:stretch/>
      </xdr:blipFill>
      <xdr:spPr>
        <a:xfrm>
          <a:off x="1383029" y="476250"/>
          <a:ext cx="5532121" cy="5916930"/>
        </a:xfrm>
        <a:prstGeom prst="rect">
          <a:avLst/>
        </a:prstGeom>
      </xdr:spPr>
    </xdr:pic>
    <xdr:clientData/>
  </xdr:twoCellAnchor>
  <xdr:twoCellAnchor>
    <xdr:from>
      <xdr:col>11</xdr:col>
      <xdr:colOff>314325</xdr:colOff>
      <xdr:row>5</xdr:row>
      <xdr:rowOff>125730</xdr:rowOff>
    </xdr:from>
    <xdr:to>
      <xdr:col>22</xdr:col>
      <xdr:colOff>548640</xdr:colOff>
      <xdr:row>33</xdr:row>
      <xdr:rowOff>53340</xdr:rowOff>
    </xdr:to>
    <xdr:sp macro="" textlink="">
      <xdr:nvSpPr>
        <xdr:cNvPr id="5" name="TextBox 4">
          <a:extLst>
            <a:ext uri="{FF2B5EF4-FFF2-40B4-BE49-F238E27FC236}">
              <a16:creationId xmlns:a16="http://schemas.microsoft.com/office/drawing/2014/main" id="{1BE33A1D-FFBF-44C0-A44E-80C9276E540E}"/>
            </a:ext>
          </a:extLst>
        </xdr:cNvPr>
        <xdr:cNvSpPr txBox="1"/>
      </xdr:nvSpPr>
      <xdr:spPr>
        <a:xfrm>
          <a:off x="7019925" y="1030605"/>
          <a:ext cx="6939915" cy="49949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lnSpc>
              <a:spcPct val="107000"/>
            </a:lnSpc>
            <a:spcBef>
              <a:spcPts val="0"/>
            </a:spcBef>
            <a:spcAft>
              <a:spcPts val="800"/>
            </a:spcAft>
          </a:pPr>
          <a:r>
            <a:rPr lang="en-US" sz="1200" u="sng">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Business Background</a:t>
          </a:r>
          <a:endPar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endParaRPr>
        </a:p>
        <a:p>
          <a:pPr marL="0" marR="0">
            <a:lnSpc>
              <a:spcPct val="107000"/>
            </a:lnSpc>
            <a:spcBef>
              <a:spcPts val="0"/>
            </a:spcBef>
            <a:spcAft>
              <a:spcPts val="800"/>
            </a:spcAft>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Nana Naturals, an Arusha-based organic skincare brand founded by Nancy James, crafts handmade soaps, oils, scrubs, and body butters using plant-based Tanzanian ingredients. Q4 2025 delivered their strongest performance yet.​​</a:t>
          </a:r>
        </a:p>
        <a:p>
          <a:pPr marL="0" marR="0">
            <a:lnSpc>
              <a:spcPct val="107000"/>
            </a:lnSpc>
            <a:spcBef>
              <a:spcPts val="0"/>
            </a:spcBef>
            <a:spcAft>
              <a:spcPts val="800"/>
            </a:spcAft>
          </a:pPr>
          <a:r>
            <a:rPr lang="en-US" sz="1200" u="sng">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Q4 Performance Highlights:</a:t>
          </a:r>
          <a:endPar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endParaRP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Total Revenue: TZS 6,397,000 across 208 units sold​</a:t>
          </a: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Peak Month: December generated TZS 3,172,000 (50% of Q4 revenue) – holiday success​</a:t>
          </a: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Star Product: Turmeric &amp; Honey Soap led with 55 units sold, proving signature products drive volume​</a:t>
          </a:r>
        </a:p>
        <a:p>
          <a:pPr marL="342900" marR="0" lvl="0" indent="-342900">
            <a:lnSpc>
              <a:spcPct val="107000"/>
            </a:lnSpc>
            <a:spcBef>
              <a:spcPts val="0"/>
            </a:spcBef>
            <a:spcAft>
              <a:spcPts val="80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Revenue Leaders: Carrot Oil Small (TZS 860K) and Body Butter (TZS 840K) topped sales value​</a:t>
          </a:r>
        </a:p>
        <a:p>
          <a:pPr marL="0" marR="0">
            <a:lnSpc>
              <a:spcPct val="107000"/>
            </a:lnSpc>
            <a:spcBef>
              <a:spcPts val="0"/>
            </a:spcBef>
            <a:spcAft>
              <a:spcPts val="800"/>
            </a:spcAft>
          </a:pPr>
          <a:r>
            <a:rPr lang="en-US" sz="1200" u="sng">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Strategic Insights</a:t>
          </a:r>
          <a:endPar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endParaRP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Holiday multiplier: December sales were 165% higher than October, confirming seasonal opportunity​</a:t>
          </a: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Product focus: Top 5 products (soaps, oils, butters) represent core natural skincare demand​</a:t>
          </a:r>
        </a:p>
        <a:p>
          <a:pPr marL="342900" marR="0" lvl="0" indent="-342900">
            <a:lnSpc>
              <a:spcPct val="107000"/>
            </a:lnSpc>
            <a:spcBef>
              <a:spcPts val="0"/>
            </a:spcBef>
            <a:spcAft>
              <a:spcPts val="80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Volume vs value: Turmeric soap maximizes units while Carrot Oil maximizes revenue per sale​</a:t>
          </a:r>
        </a:p>
        <a:p>
          <a:pPr marL="0" marR="0">
            <a:lnSpc>
              <a:spcPct val="107000"/>
            </a:lnSpc>
            <a:spcBef>
              <a:spcPts val="0"/>
            </a:spcBef>
            <a:spcAft>
              <a:spcPts val="800"/>
            </a:spcAft>
          </a:pPr>
          <a:r>
            <a:rPr lang="en-US" sz="1200" u="sng">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Recommendations</a:t>
          </a:r>
          <a:endPar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endParaRP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Double down on December: Holiday bundles featuring Turmeric soap + Carrot Oil Small</a:t>
          </a: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Inventory priority: Stock Body Butter and Hand Lotion for Q1 carryover demand</a:t>
          </a:r>
        </a:p>
        <a:p>
          <a:pPr marL="342900" marR="0" lvl="0" indent="-342900">
            <a:lnSpc>
              <a:spcPct val="107000"/>
            </a:lnSpc>
            <a:spcBef>
              <a:spcPts val="0"/>
            </a:spcBef>
            <a:spcAft>
              <a:spcPts val="80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Marketing focus: "Turmeric &amp; Honey Soap – Nana Naturals #1 Seller" campaign</a:t>
          </a:r>
        </a:p>
        <a:p>
          <a:pPr marL="0" marR="0">
            <a:lnSpc>
              <a:spcPct val="107000"/>
            </a:lnSpc>
            <a:spcBef>
              <a:spcPts val="0"/>
            </a:spcBef>
            <a:spcAft>
              <a:spcPts val="800"/>
            </a:spcAft>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Q4 proved Nana Naturals' natural skincare formula resonates. Strategic focus on holiday peaks and top performers positions 2026 for continued growth</a:t>
          </a:r>
          <a:r>
            <a:rPr lang="en-US" sz="1100">
              <a:effectLst/>
              <a:latin typeface="Calibri" panose="020F0502020204030204" pitchFamily="34" charset="0"/>
              <a:ea typeface="맑은 고딕" panose="020B0503020000020004" pitchFamily="50" charset="-127"/>
              <a:cs typeface="Times New Roman" panose="02020603050405020304" pitchFamily="18" charset="0"/>
            </a:rPr>
            <a:t>.</a:t>
          </a:r>
        </a:p>
        <a:p>
          <a:pPr marL="0" marR="0">
            <a:spcBef>
              <a:spcPts val="0"/>
            </a:spcBef>
            <a:spcAft>
              <a:spcPts val="0"/>
            </a:spcAft>
          </a:pPr>
          <a:r>
            <a:rPr lang="en-US" sz="1100">
              <a:effectLst/>
              <a:latin typeface="Calibri" panose="020F0502020204030204" pitchFamily="34" charset="0"/>
              <a:ea typeface="맑은 고딕" panose="020B0503020000020004" pitchFamily="50" charset="-127"/>
              <a:cs typeface="Times New Roman" panose="02020603050405020304" pitchFamily="18" charset="0"/>
            </a:rPr>
            <a:t> </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_1" refreshedDate="46036.807723611113" createdVersion="7" refreshedVersion="7" minRefreshableVersion="3" recordCount="227" xr:uid="{4471B851-AC0A-46BC-812B-CA2D10922607}">
  <cacheSource type="worksheet">
    <worksheetSource ref="A1:E228" sheet="Sales"/>
  </cacheSource>
  <cacheFields count="5">
    <cacheField name="Product" numFmtId="0">
      <sharedItems count="29">
        <s v="Coffee Scrub"/>
        <s v="Body Butter"/>
        <s v="Candle"/>
        <s v="Body Lotion"/>
        <s v="Carrot Oil Small"/>
        <s v="Coffee Soap"/>
        <s v="Turmeric &amp; honey soap (T&amp;H)"/>
        <s v="Beard Oil"/>
        <s v="Lip Butter"/>
        <s v="Essential Oil"/>
        <s v="Body Polish"/>
        <s v="Jiwe"/>
        <s v="Charcoal Soap"/>
        <s v="Gua sha"/>
        <s v="Face Mask"/>
        <s v="Body Mist"/>
        <s v="Body Wash"/>
        <s v="Hand Lotion"/>
        <s v="Face Mist"/>
        <s v="Carrot oil big"/>
        <s v="Coffee Soap Small"/>
        <s v="soap dish"/>
        <s v="Watermelon scrub"/>
        <s v="Beard wash"/>
        <s v="Shea Butter"/>
        <s v="Oatmeal soap"/>
        <s v="Hair Oil"/>
        <s v="Coffee Rose"/>
        <s v="Face roller"/>
      </sharedItems>
    </cacheField>
    <cacheField name="Date" numFmtId="14">
      <sharedItems containsSemiMixedTypes="0" containsNonDate="0" containsDate="1" containsString="0" minDate="2025-10-08T00:00:00" maxDate="2026-01-01T00:00:00"/>
    </cacheField>
    <cacheField name="Month" numFmtId="14">
      <sharedItems count="3">
        <s v="Oct"/>
        <s v="Nov"/>
        <s v="Dec"/>
      </sharedItems>
    </cacheField>
    <cacheField name="Units Sold" numFmtId="0">
      <sharedItems containsSemiMixedTypes="0" containsString="0" containsNumber="1" containsInteger="1" minValue="1" maxValue="7"/>
    </cacheField>
    <cacheField name="Revenue" numFmtId="165">
      <sharedItems containsSemiMixedTypes="0" containsString="0" containsNumber="1" containsInteger="1" minValue="5000" maxValue="165000"/>
    </cacheField>
  </cacheFields>
  <extLst>
    <ext xmlns:x14="http://schemas.microsoft.com/office/spreadsheetml/2009/9/main" uri="{725AE2AE-9491-48be-B2B4-4EB974FC3084}">
      <x14:pivotCacheDefinition pivotCacheId="1780725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7">
  <r>
    <x v="0"/>
    <d v="2025-10-08T00:00:00"/>
    <x v="0"/>
    <n v="1"/>
    <n v="35000"/>
  </r>
  <r>
    <x v="1"/>
    <d v="2025-10-09T00:00:00"/>
    <x v="0"/>
    <n v="2"/>
    <n v="70000"/>
  </r>
  <r>
    <x v="2"/>
    <d v="2025-10-09T00:00:00"/>
    <x v="0"/>
    <n v="2"/>
    <n v="40000"/>
  </r>
  <r>
    <x v="3"/>
    <d v="2025-10-09T00:00:00"/>
    <x v="0"/>
    <n v="1"/>
    <n v="35000"/>
  </r>
  <r>
    <x v="2"/>
    <d v="2025-10-10T00:00:00"/>
    <x v="0"/>
    <n v="2"/>
    <n v="40000"/>
  </r>
  <r>
    <x v="4"/>
    <d v="2025-10-10T00:00:00"/>
    <x v="0"/>
    <n v="1"/>
    <n v="20000"/>
  </r>
  <r>
    <x v="5"/>
    <d v="2025-10-10T00:00:00"/>
    <x v="0"/>
    <n v="1"/>
    <n v="10000"/>
  </r>
  <r>
    <x v="6"/>
    <d v="2025-10-10T00:00:00"/>
    <x v="0"/>
    <n v="1"/>
    <n v="10000"/>
  </r>
  <r>
    <x v="6"/>
    <d v="2025-10-11T00:00:00"/>
    <x v="0"/>
    <n v="2"/>
    <n v="20000"/>
  </r>
  <r>
    <x v="5"/>
    <d v="2025-10-11T00:00:00"/>
    <x v="0"/>
    <n v="1"/>
    <n v="10000"/>
  </r>
  <r>
    <x v="7"/>
    <d v="2025-10-11T00:00:00"/>
    <x v="0"/>
    <n v="1"/>
    <n v="25000"/>
  </r>
  <r>
    <x v="4"/>
    <d v="2025-10-11T00:00:00"/>
    <x v="0"/>
    <n v="1"/>
    <n v="20000"/>
  </r>
  <r>
    <x v="2"/>
    <d v="2025-10-11T00:00:00"/>
    <x v="0"/>
    <n v="1"/>
    <n v="20000"/>
  </r>
  <r>
    <x v="1"/>
    <d v="2025-10-13T00:00:00"/>
    <x v="0"/>
    <n v="2"/>
    <n v="70000"/>
  </r>
  <r>
    <x v="6"/>
    <d v="2025-10-13T00:00:00"/>
    <x v="0"/>
    <n v="1"/>
    <n v="10000"/>
  </r>
  <r>
    <x v="8"/>
    <d v="2025-10-13T00:00:00"/>
    <x v="0"/>
    <n v="1"/>
    <n v="10000"/>
  </r>
  <r>
    <x v="6"/>
    <d v="2025-10-15T00:00:00"/>
    <x v="0"/>
    <n v="1"/>
    <n v="10000"/>
  </r>
  <r>
    <x v="5"/>
    <d v="2025-10-15T00:00:00"/>
    <x v="0"/>
    <n v="1"/>
    <n v="10000"/>
  </r>
  <r>
    <x v="2"/>
    <d v="2025-10-15T00:00:00"/>
    <x v="0"/>
    <n v="1"/>
    <n v="20000"/>
  </r>
  <r>
    <x v="9"/>
    <d v="2025-10-15T00:00:00"/>
    <x v="0"/>
    <n v="1"/>
    <n v="20000"/>
  </r>
  <r>
    <x v="1"/>
    <d v="2025-10-18T00:00:00"/>
    <x v="0"/>
    <n v="1"/>
    <n v="35000"/>
  </r>
  <r>
    <x v="10"/>
    <d v="2025-10-18T00:00:00"/>
    <x v="0"/>
    <n v="1"/>
    <n v="25000"/>
  </r>
  <r>
    <x v="4"/>
    <d v="2025-10-18T00:00:00"/>
    <x v="0"/>
    <n v="1"/>
    <n v="20000"/>
  </r>
  <r>
    <x v="6"/>
    <d v="2025-10-18T00:00:00"/>
    <x v="0"/>
    <n v="1"/>
    <n v="10000"/>
  </r>
  <r>
    <x v="8"/>
    <d v="2025-10-18T00:00:00"/>
    <x v="0"/>
    <n v="1"/>
    <n v="10000"/>
  </r>
  <r>
    <x v="11"/>
    <d v="2025-10-18T00:00:00"/>
    <x v="0"/>
    <n v="1"/>
    <n v="5000"/>
  </r>
  <r>
    <x v="4"/>
    <d v="2025-10-21T00:00:00"/>
    <x v="0"/>
    <n v="1"/>
    <n v="20000"/>
  </r>
  <r>
    <x v="12"/>
    <d v="2025-10-21T00:00:00"/>
    <x v="0"/>
    <n v="2"/>
    <n v="20000"/>
  </r>
  <r>
    <x v="0"/>
    <d v="2025-10-23T00:00:00"/>
    <x v="0"/>
    <n v="2"/>
    <n v="70000"/>
  </r>
  <r>
    <x v="5"/>
    <d v="2025-10-23T00:00:00"/>
    <x v="0"/>
    <n v="2"/>
    <n v="20000"/>
  </r>
  <r>
    <x v="6"/>
    <d v="2025-10-23T00:00:00"/>
    <x v="0"/>
    <n v="2"/>
    <n v="20000"/>
  </r>
  <r>
    <x v="1"/>
    <d v="2025-10-23T00:00:00"/>
    <x v="0"/>
    <n v="1"/>
    <n v="35000"/>
  </r>
  <r>
    <x v="4"/>
    <d v="2025-10-23T00:00:00"/>
    <x v="0"/>
    <n v="1"/>
    <n v="20000"/>
  </r>
  <r>
    <x v="6"/>
    <d v="2025-10-24T00:00:00"/>
    <x v="0"/>
    <n v="1"/>
    <n v="10000"/>
  </r>
  <r>
    <x v="5"/>
    <d v="2025-10-24T00:00:00"/>
    <x v="0"/>
    <n v="1"/>
    <n v="10000"/>
  </r>
  <r>
    <x v="4"/>
    <d v="2025-10-24T00:00:00"/>
    <x v="0"/>
    <n v="1"/>
    <n v="20000"/>
  </r>
  <r>
    <x v="12"/>
    <d v="2025-10-24T00:00:00"/>
    <x v="0"/>
    <n v="2"/>
    <n v="20000"/>
  </r>
  <r>
    <x v="8"/>
    <d v="2025-10-24T00:00:00"/>
    <x v="0"/>
    <n v="1"/>
    <n v="10000"/>
  </r>
  <r>
    <x v="9"/>
    <d v="2025-10-24T00:00:00"/>
    <x v="0"/>
    <n v="4"/>
    <n v="80000"/>
  </r>
  <r>
    <x v="13"/>
    <d v="2025-10-24T00:00:00"/>
    <x v="0"/>
    <n v="1"/>
    <n v="17000"/>
  </r>
  <r>
    <x v="0"/>
    <d v="2025-10-24T00:00:00"/>
    <x v="0"/>
    <n v="1"/>
    <n v="35000"/>
  </r>
  <r>
    <x v="0"/>
    <d v="2025-10-25T00:00:00"/>
    <x v="0"/>
    <n v="1"/>
    <n v="35000"/>
  </r>
  <r>
    <x v="6"/>
    <d v="2025-10-25T00:00:00"/>
    <x v="0"/>
    <n v="3"/>
    <n v="30000"/>
  </r>
  <r>
    <x v="5"/>
    <d v="2025-10-25T00:00:00"/>
    <x v="0"/>
    <n v="1"/>
    <n v="10000"/>
  </r>
  <r>
    <x v="14"/>
    <d v="2025-10-25T00:00:00"/>
    <x v="0"/>
    <n v="1"/>
    <n v="15000"/>
  </r>
  <r>
    <x v="15"/>
    <d v="2025-10-25T00:00:00"/>
    <x v="0"/>
    <n v="1"/>
    <n v="55000"/>
  </r>
  <r>
    <x v="16"/>
    <d v="2025-10-25T00:00:00"/>
    <x v="0"/>
    <n v="1"/>
    <n v="25000"/>
  </r>
  <r>
    <x v="3"/>
    <d v="2025-10-25T00:00:00"/>
    <x v="0"/>
    <n v="1"/>
    <n v="35000"/>
  </r>
  <r>
    <x v="12"/>
    <d v="2025-10-25T00:00:00"/>
    <x v="0"/>
    <n v="1"/>
    <n v="10000"/>
  </r>
  <r>
    <x v="7"/>
    <d v="2025-10-25T00:00:00"/>
    <x v="0"/>
    <n v="1"/>
    <n v="25000"/>
  </r>
  <r>
    <x v="3"/>
    <d v="2025-10-27T00:00:00"/>
    <x v="0"/>
    <n v="4"/>
    <n v="140000"/>
  </r>
  <r>
    <x v="0"/>
    <d v="2025-10-27T00:00:00"/>
    <x v="0"/>
    <n v="1"/>
    <n v="35000"/>
  </r>
  <r>
    <x v="4"/>
    <d v="2025-10-27T00:00:00"/>
    <x v="0"/>
    <n v="7"/>
    <n v="140000"/>
  </r>
  <r>
    <x v="5"/>
    <d v="2025-10-27T00:00:00"/>
    <x v="0"/>
    <n v="7"/>
    <n v="70000"/>
  </r>
  <r>
    <x v="12"/>
    <d v="2025-10-27T00:00:00"/>
    <x v="0"/>
    <n v="3"/>
    <n v="30000"/>
  </r>
  <r>
    <x v="6"/>
    <d v="2025-10-27T00:00:00"/>
    <x v="0"/>
    <n v="5"/>
    <n v="50000"/>
  </r>
  <r>
    <x v="17"/>
    <d v="2025-10-27T00:00:00"/>
    <x v="0"/>
    <n v="7"/>
    <n v="84000"/>
  </r>
  <r>
    <x v="18"/>
    <d v="2025-10-27T00:00:00"/>
    <x v="0"/>
    <n v="1"/>
    <n v="25000"/>
  </r>
  <r>
    <x v="2"/>
    <d v="2025-10-27T00:00:00"/>
    <x v="0"/>
    <n v="1"/>
    <n v="20000"/>
  </r>
  <r>
    <x v="8"/>
    <d v="2025-10-27T00:00:00"/>
    <x v="0"/>
    <n v="4"/>
    <n v="40000"/>
  </r>
  <r>
    <x v="7"/>
    <d v="2025-10-27T00:00:00"/>
    <x v="0"/>
    <n v="1"/>
    <n v="25000"/>
  </r>
  <r>
    <x v="3"/>
    <d v="2025-10-28T00:00:00"/>
    <x v="0"/>
    <n v="2"/>
    <n v="70000"/>
  </r>
  <r>
    <x v="4"/>
    <d v="2025-10-28T00:00:00"/>
    <x v="0"/>
    <n v="1"/>
    <n v="20000"/>
  </r>
  <r>
    <x v="8"/>
    <d v="2025-10-28T00:00:00"/>
    <x v="0"/>
    <n v="1"/>
    <n v="10000"/>
  </r>
  <r>
    <x v="6"/>
    <d v="2025-10-28T00:00:00"/>
    <x v="0"/>
    <n v="1"/>
    <n v="10000"/>
  </r>
  <r>
    <x v="5"/>
    <d v="2025-11-04T00:00:00"/>
    <x v="1"/>
    <n v="3"/>
    <n v="30000"/>
  </r>
  <r>
    <x v="6"/>
    <d v="2025-11-05T00:00:00"/>
    <x v="1"/>
    <n v="1"/>
    <n v="10000"/>
  </r>
  <r>
    <x v="17"/>
    <d v="2025-11-05T00:00:00"/>
    <x v="1"/>
    <n v="2"/>
    <n v="24000"/>
  </r>
  <r>
    <x v="2"/>
    <d v="2025-11-05T00:00:00"/>
    <x v="1"/>
    <n v="1"/>
    <n v="20000"/>
  </r>
  <r>
    <x v="1"/>
    <d v="2025-11-05T00:00:00"/>
    <x v="1"/>
    <n v="1"/>
    <n v="35000"/>
  </r>
  <r>
    <x v="4"/>
    <d v="2025-11-05T00:00:00"/>
    <x v="1"/>
    <n v="1"/>
    <n v="20000"/>
  </r>
  <r>
    <x v="19"/>
    <d v="2025-11-05T00:00:00"/>
    <x v="1"/>
    <n v="1"/>
    <n v="60000"/>
  </r>
  <r>
    <x v="18"/>
    <d v="2025-11-05T00:00:00"/>
    <x v="1"/>
    <n v="1"/>
    <n v="25000"/>
  </r>
  <r>
    <x v="8"/>
    <d v="2025-11-05T00:00:00"/>
    <x v="1"/>
    <n v="1"/>
    <n v="10000"/>
  </r>
  <r>
    <x v="0"/>
    <d v="2025-11-05T00:00:00"/>
    <x v="1"/>
    <n v="1"/>
    <n v="35000"/>
  </r>
  <r>
    <x v="5"/>
    <d v="2025-11-05T00:00:00"/>
    <x v="1"/>
    <n v="2"/>
    <n v="20000"/>
  </r>
  <r>
    <x v="6"/>
    <d v="2025-11-06T00:00:00"/>
    <x v="1"/>
    <n v="1"/>
    <n v="10000"/>
  </r>
  <r>
    <x v="3"/>
    <d v="2025-11-06T00:00:00"/>
    <x v="1"/>
    <n v="1"/>
    <n v="35000"/>
  </r>
  <r>
    <x v="12"/>
    <d v="2025-11-07T00:00:00"/>
    <x v="1"/>
    <n v="1"/>
    <n v="10000"/>
  </r>
  <r>
    <x v="6"/>
    <d v="2025-11-07T00:00:00"/>
    <x v="1"/>
    <n v="1"/>
    <n v="10000"/>
  </r>
  <r>
    <x v="19"/>
    <d v="2025-11-07T00:00:00"/>
    <x v="1"/>
    <n v="1"/>
    <n v="60000"/>
  </r>
  <r>
    <x v="6"/>
    <d v="2025-11-08T00:00:00"/>
    <x v="1"/>
    <n v="1"/>
    <n v="10000"/>
  </r>
  <r>
    <x v="12"/>
    <d v="2025-11-08T00:00:00"/>
    <x v="1"/>
    <n v="1"/>
    <n v="10000"/>
  </r>
  <r>
    <x v="8"/>
    <d v="2025-11-10T00:00:00"/>
    <x v="1"/>
    <n v="1"/>
    <n v="10000"/>
  </r>
  <r>
    <x v="5"/>
    <d v="2025-11-10T00:00:00"/>
    <x v="1"/>
    <n v="1"/>
    <n v="10000"/>
  </r>
  <r>
    <x v="15"/>
    <d v="2025-11-10T00:00:00"/>
    <x v="1"/>
    <n v="1"/>
    <n v="55000"/>
  </r>
  <r>
    <x v="6"/>
    <d v="2025-11-10T00:00:00"/>
    <x v="1"/>
    <n v="1"/>
    <n v="10000"/>
  </r>
  <r>
    <x v="4"/>
    <d v="2025-11-11T00:00:00"/>
    <x v="1"/>
    <n v="1"/>
    <n v="20000"/>
  </r>
  <r>
    <x v="12"/>
    <d v="2025-11-11T00:00:00"/>
    <x v="1"/>
    <n v="1"/>
    <n v="10000"/>
  </r>
  <r>
    <x v="4"/>
    <d v="2025-11-12T00:00:00"/>
    <x v="1"/>
    <n v="1"/>
    <n v="20000"/>
  </r>
  <r>
    <x v="17"/>
    <d v="2025-11-12T00:00:00"/>
    <x v="1"/>
    <n v="1"/>
    <n v="12000"/>
  </r>
  <r>
    <x v="6"/>
    <d v="2025-11-12T00:00:00"/>
    <x v="1"/>
    <n v="1"/>
    <n v="10000"/>
  </r>
  <r>
    <x v="7"/>
    <d v="2025-11-12T00:00:00"/>
    <x v="1"/>
    <n v="1"/>
    <n v="25000"/>
  </r>
  <r>
    <x v="4"/>
    <d v="2025-11-13T00:00:00"/>
    <x v="1"/>
    <n v="2"/>
    <n v="40000"/>
  </r>
  <r>
    <x v="17"/>
    <d v="2025-11-13T00:00:00"/>
    <x v="1"/>
    <n v="3"/>
    <n v="36000"/>
  </r>
  <r>
    <x v="4"/>
    <d v="2025-11-14T00:00:00"/>
    <x v="1"/>
    <n v="1"/>
    <n v="20000"/>
  </r>
  <r>
    <x v="5"/>
    <d v="2025-11-14T00:00:00"/>
    <x v="1"/>
    <n v="1"/>
    <n v="10000"/>
  </r>
  <r>
    <x v="6"/>
    <d v="2025-11-14T00:00:00"/>
    <x v="1"/>
    <n v="1"/>
    <n v="10000"/>
  </r>
  <r>
    <x v="17"/>
    <d v="2025-11-15T00:00:00"/>
    <x v="1"/>
    <n v="1"/>
    <n v="12000"/>
  </r>
  <r>
    <x v="5"/>
    <d v="2025-11-17T00:00:00"/>
    <x v="1"/>
    <n v="4"/>
    <n v="40000"/>
  </r>
  <r>
    <x v="4"/>
    <d v="2025-11-18T00:00:00"/>
    <x v="1"/>
    <n v="2"/>
    <n v="40000"/>
  </r>
  <r>
    <x v="12"/>
    <d v="2025-11-18T00:00:00"/>
    <x v="1"/>
    <n v="4"/>
    <n v="40000"/>
  </r>
  <r>
    <x v="6"/>
    <d v="2025-11-18T00:00:00"/>
    <x v="1"/>
    <n v="3"/>
    <n v="30000"/>
  </r>
  <r>
    <x v="17"/>
    <d v="2025-11-18T00:00:00"/>
    <x v="1"/>
    <n v="3"/>
    <n v="36000"/>
  </r>
  <r>
    <x v="20"/>
    <d v="2025-11-18T00:00:00"/>
    <x v="1"/>
    <n v="1"/>
    <n v="7000"/>
  </r>
  <r>
    <x v="8"/>
    <d v="2025-11-18T00:00:00"/>
    <x v="1"/>
    <n v="1"/>
    <n v="10000"/>
  </r>
  <r>
    <x v="16"/>
    <d v="2025-11-18T00:00:00"/>
    <x v="1"/>
    <n v="1"/>
    <n v="25000"/>
  </r>
  <r>
    <x v="5"/>
    <d v="2025-11-18T00:00:00"/>
    <x v="1"/>
    <n v="1"/>
    <n v="10000"/>
  </r>
  <r>
    <x v="12"/>
    <d v="2025-11-19T00:00:00"/>
    <x v="1"/>
    <n v="1"/>
    <n v="10000"/>
  </r>
  <r>
    <x v="17"/>
    <d v="2025-11-19T00:00:00"/>
    <x v="1"/>
    <n v="1"/>
    <n v="12000"/>
  </r>
  <r>
    <x v="5"/>
    <d v="2025-11-20T00:00:00"/>
    <x v="1"/>
    <n v="2"/>
    <n v="20000"/>
  </r>
  <r>
    <x v="6"/>
    <d v="2025-11-20T00:00:00"/>
    <x v="1"/>
    <n v="1"/>
    <n v="10000"/>
  </r>
  <r>
    <x v="14"/>
    <d v="2025-11-20T00:00:00"/>
    <x v="1"/>
    <n v="1"/>
    <n v="15000"/>
  </r>
  <r>
    <x v="21"/>
    <d v="2025-11-20T00:00:00"/>
    <x v="1"/>
    <n v="1"/>
    <n v="10000"/>
  </r>
  <r>
    <x v="5"/>
    <d v="2025-11-20T00:00:00"/>
    <x v="1"/>
    <n v="1"/>
    <n v="10000"/>
  </r>
  <r>
    <x v="4"/>
    <d v="2025-11-20T00:00:00"/>
    <x v="1"/>
    <n v="1"/>
    <n v="20000"/>
  </r>
  <r>
    <x v="5"/>
    <d v="2025-11-21T00:00:00"/>
    <x v="1"/>
    <n v="1"/>
    <n v="10000"/>
  </r>
  <r>
    <x v="6"/>
    <d v="2025-11-27T00:00:00"/>
    <x v="1"/>
    <n v="4"/>
    <n v="40000"/>
  </r>
  <r>
    <x v="4"/>
    <d v="2025-11-27T00:00:00"/>
    <x v="1"/>
    <n v="2"/>
    <n v="40000"/>
  </r>
  <r>
    <x v="4"/>
    <d v="2025-11-27T00:00:00"/>
    <x v="1"/>
    <n v="1"/>
    <n v="20000"/>
  </r>
  <r>
    <x v="4"/>
    <d v="2025-12-01T00:00:00"/>
    <x v="2"/>
    <n v="2"/>
    <n v="40000"/>
  </r>
  <r>
    <x v="17"/>
    <d v="2025-12-01T00:00:00"/>
    <x v="2"/>
    <n v="5"/>
    <n v="60000"/>
  </r>
  <r>
    <x v="18"/>
    <d v="2025-12-01T00:00:00"/>
    <x v="2"/>
    <n v="3"/>
    <n v="75000"/>
  </r>
  <r>
    <x v="22"/>
    <d v="2025-12-01T00:00:00"/>
    <x v="2"/>
    <n v="2"/>
    <n v="50000"/>
  </r>
  <r>
    <x v="8"/>
    <d v="2025-12-01T00:00:00"/>
    <x v="2"/>
    <n v="2"/>
    <n v="20000"/>
  </r>
  <r>
    <x v="7"/>
    <d v="2025-12-01T00:00:00"/>
    <x v="2"/>
    <n v="1"/>
    <n v="25000"/>
  </r>
  <r>
    <x v="23"/>
    <d v="2025-12-01T00:00:00"/>
    <x v="2"/>
    <n v="1"/>
    <n v="20000"/>
  </r>
  <r>
    <x v="5"/>
    <d v="2025-12-01T00:00:00"/>
    <x v="2"/>
    <n v="2"/>
    <n v="20000"/>
  </r>
  <r>
    <x v="4"/>
    <d v="2025-12-02T00:00:00"/>
    <x v="2"/>
    <n v="1"/>
    <n v="20000"/>
  </r>
  <r>
    <x v="17"/>
    <d v="2025-12-02T00:00:00"/>
    <x v="2"/>
    <n v="4"/>
    <n v="48000"/>
  </r>
  <r>
    <x v="0"/>
    <d v="2025-12-02T00:00:00"/>
    <x v="2"/>
    <n v="1"/>
    <n v="35000"/>
  </r>
  <r>
    <x v="5"/>
    <d v="2025-12-02T00:00:00"/>
    <x v="2"/>
    <n v="3"/>
    <n v="30000"/>
  </r>
  <r>
    <x v="8"/>
    <d v="2025-12-02T00:00:00"/>
    <x v="2"/>
    <n v="1"/>
    <n v="10000"/>
  </r>
  <r>
    <x v="6"/>
    <d v="2025-12-02T00:00:00"/>
    <x v="2"/>
    <n v="1"/>
    <n v="10000"/>
  </r>
  <r>
    <x v="12"/>
    <d v="2025-12-02T00:00:00"/>
    <x v="2"/>
    <n v="1"/>
    <n v="10000"/>
  </r>
  <r>
    <x v="6"/>
    <d v="2025-12-03T00:00:00"/>
    <x v="2"/>
    <n v="1"/>
    <n v="10000"/>
  </r>
  <r>
    <x v="7"/>
    <d v="2025-12-03T00:00:00"/>
    <x v="2"/>
    <n v="1"/>
    <n v="25000"/>
  </r>
  <r>
    <x v="5"/>
    <d v="2025-12-03T00:00:00"/>
    <x v="2"/>
    <n v="1"/>
    <n v="10000"/>
  </r>
  <r>
    <x v="12"/>
    <d v="2025-12-03T00:00:00"/>
    <x v="2"/>
    <n v="1"/>
    <n v="10000"/>
  </r>
  <r>
    <x v="24"/>
    <d v="2025-12-03T00:00:00"/>
    <x v="2"/>
    <n v="1"/>
    <n v="35000"/>
  </r>
  <r>
    <x v="5"/>
    <d v="2025-12-04T00:00:00"/>
    <x v="2"/>
    <n v="1"/>
    <n v="10000"/>
  </r>
  <r>
    <x v="1"/>
    <d v="2025-12-05T00:00:00"/>
    <x v="2"/>
    <n v="1"/>
    <n v="35000"/>
  </r>
  <r>
    <x v="17"/>
    <d v="2025-12-05T00:00:00"/>
    <x v="2"/>
    <n v="2"/>
    <n v="24000"/>
  </r>
  <r>
    <x v="1"/>
    <d v="2025-12-05T00:00:00"/>
    <x v="2"/>
    <n v="1"/>
    <n v="35000"/>
  </r>
  <r>
    <x v="6"/>
    <d v="2025-12-05T00:00:00"/>
    <x v="2"/>
    <n v="3"/>
    <n v="30000"/>
  </r>
  <r>
    <x v="24"/>
    <d v="2025-12-05T00:00:00"/>
    <x v="2"/>
    <n v="4"/>
    <n v="140000"/>
  </r>
  <r>
    <x v="19"/>
    <d v="2025-12-05T00:00:00"/>
    <x v="2"/>
    <n v="2"/>
    <n v="120000"/>
  </r>
  <r>
    <x v="5"/>
    <d v="2025-12-05T00:00:00"/>
    <x v="2"/>
    <n v="2"/>
    <n v="20000"/>
  </r>
  <r>
    <x v="4"/>
    <d v="2025-12-05T00:00:00"/>
    <x v="2"/>
    <n v="2"/>
    <n v="40000"/>
  </r>
  <r>
    <x v="12"/>
    <d v="2025-12-08T00:00:00"/>
    <x v="2"/>
    <n v="1"/>
    <n v="10000"/>
  </r>
  <r>
    <x v="5"/>
    <d v="2025-12-08T00:00:00"/>
    <x v="2"/>
    <n v="2"/>
    <n v="20000"/>
  </r>
  <r>
    <x v="4"/>
    <d v="2025-12-08T00:00:00"/>
    <x v="2"/>
    <n v="1"/>
    <n v="20000"/>
  </r>
  <r>
    <x v="22"/>
    <d v="2025-12-08T00:00:00"/>
    <x v="2"/>
    <n v="1"/>
    <n v="25000"/>
  </r>
  <r>
    <x v="1"/>
    <d v="2025-12-08T00:00:00"/>
    <x v="2"/>
    <n v="1"/>
    <n v="35000"/>
  </r>
  <r>
    <x v="8"/>
    <d v="2025-12-08T00:00:00"/>
    <x v="2"/>
    <n v="1"/>
    <n v="10000"/>
  </r>
  <r>
    <x v="4"/>
    <d v="2025-12-10T00:00:00"/>
    <x v="2"/>
    <n v="1"/>
    <n v="20000"/>
  </r>
  <r>
    <x v="25"/>
    <d v="2025-12-10T00:00:00"/>
    <x v="2"/>
    <n v="2"/>
    <n v="20000"/>
  </r>
  <r>
    <x v="20"/>
    <d v="2025-12-10T00:00:00"/>
    <x v="2"/>
    <n v="1"/>
    <n v="7000"/>
  </r>
  <r>
    <x v="5"/>
    <d v="2025-12-10T00:00:00"/>
    <x v="2"/>
    <n v="1"/>
    <n v="10000"/>
  </r>
  <r>
    <x v="6"/>
    <d v="2025-12-11T00:00:00"/>
    <x v="2"/>
    <n v="1"/>
    <n v="10000"/>
  </r>
  <r>
    <x v="1"/>
    <d v="2025-12-12T00:00:00"/>
    <x v="2"/>
    <n v="1"/>
    <n v="35000"/>
  </r>
  <r>
    <x v="6"/>
    <d v="2025-12-12T00:00:00"/>
    <x v="2"/>
    <n v="1"/>
    <n v="10000"/>
  </r>
  <r>
    <x v="4"/>
    <d v="2025-12-12T00:00:00"/>
    <x v="2"/>
    <n v="1"/>
    <n v="20000"/>
  </r>
  <r>
    <x v="19"/>
    <d v="2025-12-12T00:00:00"/>
    <x v="2"/>
    <n v="1"/>
    <n v="60000"/>
  </r>
  <r>
    <x v="4"/>
    <d v="2025-12-13T00:00:00"/>
    <x v="2"/>
    <n v="1"/>
    <n v="20000"/>
  </r>
  <r>
    <x v="1"/>
    <d v="2025-12-13T00:00:00"/>
    <x v="2"/>
    <n v="1"/>
    <n v="35000"/>
  </r>
  <r>
    <x v="6"/>
    <d v="2025-12-15T00:00:00"/>
    <x v="2"/>
    <n v="3"/>
    <n v="30000"/>
  </r>
  <r>
    <x v="7"/>
    <d v="2025-12-15T00:00:00"/>
    <x v="2"/>
    <n v="1"/>
    <n v="25000"/>
  </r>
  <r>
    <x v="5"/>
    <d v="2025-12-15T00:00:00"/>
    <x v="2"/>
    <n v="2"/>
    <n v="20000"/>
  </r>
  <r>
    <x v="1"/>
    <d v="2025-12-15T00:00:00"/>
    <x v="2"/>
    <n v="1"/>
    <n v="35000"/>
  </r>
  <r>
    <x v="8"/>
    <d v="2025-12-15T00:00:00"/>
    <x v="2"/>
    <n v="2"/>
    <n v="20000"/>
  </r>
  <r>
    <x v="3"/>
    <d v="2025-12-15T00:00:00"/>
    <x v="2"/>
    <n v="1"/>
    <n v="35000"/>
  </r>
  <r>
    <x v="17"/>
    <d v="2025-12-15T00:00:00"/>
    <x v="2"/>
    <n v="1"/>
    <n v="12000"/>
  </r>
  <r>
    <x v="16"/>
    <d v="2025-12-16T00:00:00"/>
    <x v="2"/>
    <n v="1"/>
    <n v="25000"/>
  </r>
  <r>
    <x v="19"/>
    <d v="2025-12-16T00:00:00"/>
    <x v="2"/>
    <n v="1"/>
    <n v="60000"/>
  </r>
  <r>
    <x v="0"/>
    <d v="2025-12-16T00:00:00"/>
    <x v="2"/>
    <n v="1"/>
    <n v="35000"/>
  </r>
  <r>
    <x v="4"/>
    <d v="2025-12-16T00:00:00"/>
    <x v="2"/>
    <n v="1"/>
    <n v="20000"/>
  </r>
  <r>
    <x v="15"/>
    <d v="2025-12-17T00:00:00"/>
    <x v="2"/>
    <n v="1"/>
    <n v="55000"/>
  </r>
  <r>
    <x v="9"/>
    <d v="2025-12-17T00:00:00"/>
    <x v="2"/>
    <n v="1"/>
    <n v="20000"/>
  </r>
  <r>
    <x v="17"/>
    <d v="2025-12-17T00:00:00"/>
    <x v="2"/>
    <n v="1"/>
    <n v="12000"/>
  </r>
  <r>
    <x v="4"/>
    <d v="2025-12-18T00:00:00"/>
    <x v="2"/>
    <n v="1"/>
    <n v="20000"/>
  </r>
  <r>
    <x v="5"/>
    <d v="2025-12-18T00:00:00"/>
    <x v="2"/>
    <n v="1"/>
    <n v="10000"/>
  </r>
  <r>
    <x v="6"/>
    <d v="2025-12-18T00:00:00"/>
    <x v="2"/>
    <n v="1"/>
    <n v="10000"/>
  </r>
  <r>
    <x v="6"/>
    <d v="2025-12-19T00:00:00"/>
    <x v="2"/>
    <n v="1"/>
    <n v="10000"/>
  </r>
  <r>
    <x v="12"/>
    <d v="2025-12-19T00:00:00"/>
    <x v="2"/>
    <n v="1"/>
    <n v="10000"/>
  </r>
  <r>
    <x v="5"/>
    <d v="2025-12-19T00:00:00"/>
    <x v="2"/>
    <n v="1"/>
    <n v="10000"/>
  </r>
  <r>
    <x v="15"/>
    <d v="2025-12-19T00:00:00"/>
    <x v="2"/>
    <n v="3"/>
    <n v="165000"/>
  </r>
  <r>
    <x v="26"/>
    <d v="2025-12-19T00:00:00"/>
    <x v="2"/>
    <n v="1"/>
    <n v="20000"/>
  </r>
  <r>
    <x v="0"/>
    <d v="2025-12-19T00:00:00"/>
    <x v="2"/>
    <n v="1"/>
    <n v="35000"/>
  </r>
  <r>
    <x v="9"/>
    <d v="2025-12-19T00:00:00"/>
    <x v="2"/>
    <n v="1"/>
    <n v="20000"/>
  </r>
  <r>
    <x v="1"/>
    <d v="2025-12-19T00:00:00"/>
    <x v="2"/>
    <n v="1"/>
    <n v="35000"/>
  </r>
  <r>
    <x v="4"/>
    <d v="2025-12-19T00:00:00"/>
    <x v="2"/>
    <n v="1"/>
    <n v="20000"/>
  </r>
  <r>
    <x v="14"/>
    <d v="2025-12-20T00:00:00"/>
    <x v="2"/>
    <n v="1"/>
    <n v="15000"/>
  </r>
  <r>
    <x v="6"/>
    <d v="2025-12-20T00:00:00"/>
    <x v="2"/>
    <n v="1"/>
    <n v="10000"/>
  </r>
  <r>
    <x v="0"/>
    <d v="2025-12-20T00:00:00"/>
    <x v="2"/>
    <n v="1"/>
    <n v="35000"/>
  </r>
  <r>
    <x v="12"/>
    <d v="2025-12-20T00:00:00"/>
    <x v="2"/>
    <n v="1"/>
    <n v="10000"/>
  </r>
  <r>
    <x v="18"/>
    <d v="2025-12-20T00:00:00"/>
    <x v="2"/>
    <n v="1"/>
    <n v="25000"/>
  </r>
  <r>
    <x v="1"/>
    <d v="2025-12-22T00:00:00"/>
    <x v="2"/>
    <n v="3"/>
    <n v="105000"/>
  </r>
  <r>
    <x v="1"/>
    <d v="2025-12-23T00:00:00"/>
    <x v="2"/>
    <n v="1"/>
    <n v="35000"/>
  </r>
  <r>
    <x v="3"/>
    <d v="2025-12-23T00:00:00"/>
    <x v="2"/>
    <n v="1"/>
    <n v="35000"/>
  </r>
  <r>
    <x v="17"/>
    <d v="2025-12-23T00:00:00"/>
    <x v="2"/>
    <n v="2"/>
    <n v="24000"/>
  </r>
  <r>
    <x v="4"/>
    <d v="2025-12-23T00:00:00"/>
    <x v="2"/>
    <n v="1"/>
    <n v="20000"/>
  </r>
  <r>
    <x v="6"/>
    <d v="2025-12-23T00:00:00"/>
    <x v="2"/>
    <n v="1"/>
    <n v="10000"/>
  </r>
  <r>
    <x v="1"/>
    <d v="2025-12-24T00:00:00"/>
    <x v="2"/>
    <n v="4"/>
    <n v="140000"/>
  </r>
  <r>
    <x v="18"/>
    <d v="2025-12-24T00:00:00"/>
    <x v="2"/>
    <n v="2"/>
    <n v="50000"/>
  </r>
  <r>
    <x v="8"/>
    <d v="2025-12-24T00:00:00"/>
    <x v="2"/>
    <n v="1"/>
    <n v="10000"/>
  </r>
  <r>
    <x v="5"/>
    <d v="2025-12-24T00:00:00"/>
    <x v="2"/>
    <n v="1"/>
    <n v="10000"/>
  </r>
  <r>
    <x v="27"/>
    <d v="2025-12-24T00:00:00"/>
    <x v="2"/>
    <n v="1"/>
    <n v="5000"/>
  </r>
  <r>
    <x v="24"/>
    <d v="2025-12-27T00:00:00"/>
    <x v="2"/>
    <n v="1"/>
    <n v="35000"/>
  </r>
  <r>
    <x v="18"/>
    <d v="2025-12-27T00:00:00"/>
    <x v="2"/>
    <n v="1"/>
    <n v="25000"/>
  </r>
  <r>
    <x v="16"/>
    <d v="2025-12-27T00:00:00"/>
    <x v="2"/>
    <n v="1"/>
    <n v="25000"/>
  </r>
  <r>
    <x v="4"/>
    <d v="2025-12-27T00:00:00"/>
    <x v="2"/>
    <n v="1"/>
    <n v="20000"/>
  </r>
  <r>
    <x v="6"/>
    <d v="2025-12-28T00:00:00"/>
    <x v="2"/>
    <n v="5"/>
    <n v="50000"/>
  </r>
  <r>
    <x v="28"/>
    <d v="2025-12-28T00:00:00"/>
    <x v="2"/>
    <n v="1"/>
    <n v="20000"/>
  </r>
  <r>
    <x v="13"/>
    <d v="2025-12-28T00:00:00"/>
    <x v="2"/>
    <n v="1"/>
    <n v="17000"/>
  </r>
  <r>
    <x v="5"/>
    <d v="2025-12-28T00:00:00"/>
    <x v="2"/>
    <n v="1"/>
    <n v="10000"/>
  </r>
  <r>
    <x v="1"/>
    <d v="2025-12-28T00:00:00"/>
    <x v="2"/>
    <n v="1"/>
    <n v="35000"/>
  </r>
  <r>
    <x v="4"/>
    <d v="2025-12-30T00:00:00"/>
    <x v="2"/>
    <n v="3"/>
    <n v="60000"/>
  </r>
  <r>
    <x v="17"/>
    <d v="2025-12-30T00:00:00"/>
    <x v="2"/>
    <n v="2"/>
    <n v="24000"/>
  </r>
  <r>
    <x v="6"/>
    <d v="2025-12-30T00:00:00"/>
    <x v="2"/>
    <n v="2"/>
    <n v="20000"/>
  </r>
  <r>
    <x v="17"/>
    <d v="2025-12-30T00:00:00"/>
    <x v="2"/>
    <n v="2"/>
    <n v="24000"/>
  </r>
  <r>
    <x v="1"/>
    <d v="2025-12-30T00:00:00"/>
    <x v="2"/>
    <n v="1"/>
    <n v="35000"/>
  </r>
  <r>
    <x v="0"/>
    <d v="2025-12-30T00:00:00"/>
    <x v="2"/>
    <n v="1"/>
    <n v="35000"/>
  </r>
  <r>
    <x v="25"/>
    <d v="2025-12-30T00:00:00"/>
    <x v="2"/>
    <n v="2"/>
    <n v="20000"/>
  </r>
  <r>
    <x v="5"/>
    <d v="2025-12-30T00:00:00"/>
    <x v="2"/>
    <n v="1"/>
    <n v="10000"/>
  </r>
  <r>
    <x v="27"/>
    <d v="2025-12-30T00:00:00"/>
    <x v="2"/>
    <n v="1"/>
    <n v="5000"/>
  </r>
  <r>
    <x v="6"/>
    <d v="2025-12-31T00:00:00"/>
    <x v="2"/>
    <n v="1"/>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D8DF47-FBA9-4FDC-8837-3DCBDB1EEFF8}"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1">
  <location ref="L3:M9" firstHeaderRow="1" firstDataRow="1" firstDataCol="1"/>
  <pivotFields count="5">
    <pivotField axis="axisRow" showAll="0" measureFilter="1" sortType="descending">
      <items count="30">
        <item x="7"/>
        <item x="1"/>
        <item x="3"/>
        <item x="15"/>
        <item x="10"/>
        <item x="16"/>
        <item x="2"/>
        <item x="19"/>
        <item x="4"/>
        <item x="12"/>
        <item x="0"/>
        <item x="5"/>
        <item x="20"/>
        <item x="9"/>
        <item x="14"/>
        <item x="18"/>
        <item x="13"/>
        <item x="17"/>
        <item x="11"/>
        <item x="8"/>
        <item x="21"/>
        <item x="6"/>
        <item x="22"/>
        <item x="23"/>
        <item x="24"/>
        <item x="25"/>
        <item x="26"/>
        <item x="28"/>
        <item x="27"/>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dataField="1" numFmtId="165" showAll="0"/>
  </pivotFields>
  <rowFields count="1">
    <field x="0"/>
  </rowFields>
  <rowItems count="6">
    <i>
      <x v="8"/>
    </i>
    <i>
      <x v="1"/>
    </i>
    <i>
      <x v="21"/>
    </i>
    <i>
      <x v="11"/>
    </i>
    <i>
      <x v="17"/>
    </i>
    <i t="grand">
      <x/>
    </i>
  </rowItems>
  <colItems count="1">
    <i/>
  </colItems>
  <dataFields count="1">
    <dataField name="Sum of Revenue" fld="4" baseField="0" baseItem="1" numFmtId="166"/>
  </dataFields>
  <chartFormats count="3">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0D7462-6A29-4825-986B-A4D6B4A6DF0C}" name="PivotTable5" cacheId="0" applyNumberFormats="0" applyBorderFormats="0" applyFontFormats="0" applyPatternFormats="0" applyAlignmentFormats="0" applyWidthHeightFormats="1" dataCaption="Values" updatedVersion="7" minRefreshableVersion="3" showDrill="0" useAutoFormatting="1" itemPrintTitles="1" createdVersion="8" indent="0" outline="1" outlineData="1" multipleFieldFilters="0" chartFormat="6">
  <location ref="A49:B53" firstHeaderRow="1" firstDataRow="1" firstDataCol="1"/>
  <pivotFields count="5">
    <pivotField showAll="0">
      <items count="30">
        <item x="7"/>
        <item x="1"/>
        <item x="3"/>
        <item x="15"/>
        <item x="10"/>
        <item x="16"/>
        <item x="2"/>
        <item x="19"/>
        <item x="4"/>
        <item x="12"/>
        <item x="0"/>
        <item x="5"/>
        <item x="20"/>
        <item x="9"/>
        <item x="14"/>
        <item x="18"/>
        <item x="13"/>
        <item x="17"/>
        <item x="11"/>
        <item x="8"/>
        <item x="21"/>
        <item x="6"/>
        <item x="22"/>
        <item x="23"/>
        <item x="24"/>
        <item x="25"/>
        <item x="26"/>
        <item x="28"/>
        <item x="27"/>
        <item t="default"/>
      </items>
    </pivotField>
    <pivotField numFmtId="14" showAll="0"/>
    <pivotField axis="axisRow" showAll="0">
      <items count="4">
        <item x="0"/>
        <item x="1"/>
        <item x="2"/>
        <item t="default"/>
      </items>
    </pivotField>
    <pivotField showAll="0"/>
    <pivotField dataField="1" numFmtId="165" showAll="0"/>
  </pivotFields>
  <rowFields count="1">
    <field x="2"/>
  </rowFields>
  <rowItems count="4">
    <i>
      <x/>
    </i>
    <i>
      <x v="1"/>
    </i>
    <i>
      <x v="2"/>
    </i>
    <i t="grand">
      <x/>
    </i>
  </rowItems>
  <colItems count="1">
    <i/>
  </colItems>
  <dataFields count="1">
    <dataField name="Sum of Revenue" fld="4" baseField="0" baseItem="0"/>
  </dataFields>
  <formats count="1">
    <format dxfId="0">
      <pivotArea collapsedLevelsAreSubtotals="1" fieldPosition="0">
        <references count="1">
          <reference field="2" count="0"/>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18FBB9-AD90-41FB-B086-B9827B3791C9}" name="PivotTable2" cacheId="0" applyNumberFormats="0" applyBorderFormats="0" applyFontFormats="0" applyPatternFormats="0" applyAlignmentFormats="0" applyWidthHeightFormats="1" dataCaption="Values" updatedVersion="7" minRefreshableVersion="3" showDrill="0" useAutoFormatting="1" itemPrintTitles="1" createdVersion="8" indent="0" outline="1" outlineData="1" multipleFieldFilters="0" chartFormat="3">
  <location ref="A32:B39" firstHeaderRow="1" firstDataRow="1" firstDataCol="1"/>
  <pivotFields count="5">
    <pivotField axis="axisRow" showAll="0" measureFilter="1" sortType="descending">
      <items count="30">
        <item x="7"/>
        <item x="1"/>
        <item x="3"/>
        <item x="15"/>
        <item x="10"/>
        <item x="16"/>
        <item x="2"/>
        <item x="19"/>
        <item x="4"/>
        <item x="12"/>
        <item x="0"/>
        <item x="5"/>
        <item x="20"/>
        <item x="9"/>
        <item x="14"/>
        <item x="18"/>
        <item x="13"/>
        <item x="17"/>
        <item x="11"/>
        <item x="8"/>
        <item x="21"/>
        <item x="6"/>
        <item x="22"/>
        <item x="23"/>
        <item x="24"/>
        <item x="25"/>
        <item x="26"/>
        <item x="28"/>
        <item x="27"/>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numFmtId="165" showAll="0"/>
  </pivotFields>
  <rowFields count="1">
    <field x="0"/>
  </rowFields>
  <rowItems count="7">
    <i>
      <x v="23"/>
    </i>
    <i>
      <x v="27"/>
    </i>
    <i>
      <x v="26"/>
    </i>
    <i>
      <x v="18"/>
    </i>
    <i>
      <x v="4"/>
    </i>
    <i>
      <x v="20"/>
    </i>
    <i t="grand">
      <x/>
    </i>
  </rowItems>
  <colItems count="1">
    <i/>
  </colItems>
  <dataFields count="1">
    <dataField name="Sum of Units Sold"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10326A-350C-4073-AE02-22874A8C31CE}"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A2:B8" firstHeaderRow="1" firstDataRow="1" firstDataCol="1"/>
  <pivotFields count="5">
    <pivotField axis="axisRow" showAll="0" measureFilter="1" sortType="descending">
      <items count="30">
        <item x="7"/>
        <item x="1"/>
        <item x="3"/>
        <item x="15"/>
        <item x="10"/>
        <item x="16"/>
        <item x="2"/>
        <item x="19"/>
        <item x="4"/>
        <item x="12"/>
        <item x="0"/>
        <item x="5"/>
        <item x="20"/>
        <item x="9"/>
        <item x="14"/>
        <item x="18"/>
        <item x="13"/>
        <item x="17"/>
        <item x="11"/>
        <item x="8"/>
        <item x="21"/>
        <item x="6"/>
        <item x="22"/>
        <item x="23"/>
        <item x="24"/>
        <item x="25"/>
        <item x="26"/>
        <item x="28"/>
        <item x="27"/>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numFmtId="165" showAll="0"/>
  </pivotFields>
  <rowFields count="1">
    <field x="0"/>
  </rowFields>
  <rowItems count="6">
    <i>
      <x v="21"/>
    </i>
    <i>
      <x v="11"/>
    </i>
    <i>
      <x v="8"/>
    </i>
    <i>
      <x v="17"/>
    </i>
    <i>
      <x v="1"/>
    </i>
    <i t="grand">
      <x/>
    </i>
  </rowItems>
  <colItems count="1">
    <i/>
  </colItems>
  <dataFields count="1">
    <dataField name="Sum of Units Sold"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EDE172-D96E-4595-94FF-099A4802F98A}"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9">
  <location ref="L24:M32" firstHeaderRow="1" firstDataRow="1" firstDataCol="1"/>
  <pivotFields count="5">
    <pivotField axis="axisRow" showAll="0" measureFilter="1" sortType="descending">
      <items count="30">
        <item x="7"/>
        <item x="1"/>
        <item x="3"/>
        <item x="15"/>
        <item x="10"/>
        <item x="16"/>
        <item x="2"/>
        <item x="19"/>
        <item x="4"/>
        <item x="12"/>
        <item x="0"/>
        <item x="5"/>
        <item x="20"/>
        <item x="9"/>
        <item x="14"/>
        <item x="18"/>
        <item x="13"/>
        <item x="17"/>
        <item x="11"/>
        <item x="8"/>
        <item x="21"/>
        <item x="6"/>
        <item x="22"/>
        <item x="23"/>
        <item x="24"/>
        <item x="25"/>
        <item x="26"/>
        <item x="28"/>
        <item x="27"/>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dataField="1" numFmtId="165" showAll="0"/>
  </pivotFields>
  <rowFields count="1">
    <field x="0"/>
  </rowFields>
  <rowItems count="8">
    <i>
      <x v="26"/>
    </i>
    <i>
      <x v="27"/>
    </i>
    <i>
      <x v="23"/>
    </i>
    <i>
      <x v="12"/>
    </i>
    <i>
      <x v="20"/>
    </i>
    <i>
      <x v="28"/>
    </i>
    <i>
      <x v="18"/>
    </i>
    <i t="grand">
      <x/>
    </i>
  </rowItems>
  <colItems count="1">
    <i/>
  </colItems>
  <dataFields count="1">
    <dataField name="Sum of Revenue" fld="4" baseField="0" baseItem="0" numFmtId="165"/>
  </dataField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C239787-9D8A-45A1-94E6-FF24E9849556}" sourceName="Month">
  <data>
    <tabular pivotCacheId="178072565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11C2A42-63E3-407B-A1F0-34727DDDC429}"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A31FE1-28CE-462B-A38B-F47C4102ADB4}" name="Table1" displayName="Table1" ref="A1:F234" totalsRowShown="0">
  <autoFilter ref="A1:F234" xr:uid="{32A31FE1-28CE-462B-A38B-F47C4102ADB4}"/>
  <tableColumns count="6">
    <tableColumn id="1" xr3:uid="{0F5F4B0E-DE41-4AC4-A5DD-1FED5AA92CF2}" name="Product"/>
    <tableColumn id="2" xr3:uid="{01F667A7-B028-4786-818F-1FD3CA73A9B9}" name="Date" dataDxfId="3"/>
    <tableColumn id="3" xr3:uid="{5CD0FB50-DBFD-4A9B-8D2C-E9C820EB9E8F}" name="Month" dataDxfId="2"/>
    <tableColumn id="4" xr3:uid="{F44A269E-29F1-41ED-950D-E328D0B184F5}" name="Units Sold"/>
    <tableColumn id="5" xr3:uid="{859EE7B9-1C54-4EB5-AEC9-52FD370826E5}" name="Revenue" dataDxfId="1"/>
    <tableColumn id="6" xr3:uid="{C86B5E4D-3796-4BA7-937E-CF99F0AE8742}" name="Column1"/>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34DC5-2FB4-4CD3-9247-668EEFDC4CF4}">
  <dimension ref="A1:B32"/>
  <sheetViews>
    <sheetView topLeftCell="A5" workbookViewId="0">
      <selection activeCell="A31" sqref="A31"/>
    </sheetView>
  </sheetViews>
  <sheetFormatPr defaultRowHeight="14.4" x14ac:dyDescent="0.3"/>
  <cols>
    <col min="1" max="1" width="11" customWidth="1"/>
    <col min="2" max="2" width="11.109375" style="6" bestFit="1" customWidth="1"/>
  </cols>
  <sheetData>
    <row r="1" spans="1:2" x14ac:dyDescent="0.3">
      <c r="A1" s="1" t="s">
        <v>0</v>
      </c>
      <c r="B1" s="4" t="s">
        <v>1</v>
      </c>
    </row>
    <row r="2" spans="1:2" x14ac:dyDescent="0.3">
      <c r="A2" s="2" t="s">
        <v>2</v>
      </c>
      <c r="B2" s="5">
        <v>10000</v>
      </c>
    </row>
    <row r="3" spans="1:2" ht="28.8" x14ac:dyDescent="0.3">
      <c r="A3" s="2" t="s">
        <v>3</v>
      </c>
      <c r="B3" s="5">
        <v>35000</v>
      </c>
    </row>
    <row r="4" spans="1:2" ht="28.8" x14ac:dyDescent="0.3">
      <c r="A4" s="2" t="s">
        <v>4</v>
      </c>
      <c r="B4" s="5">
        <v>25000</v>
      </c>
    </row>
    <row r="5" spans="1:2" ht="43.2" x14ac:dyDescent="0.3">
      <c r="A5" s="2" t="s">
        <v>5</v>
      </c>
      <c r="B5" s="5">
        <v>10000</v>
      </c>
    </row>
    <row r="6" spans="1:2" ht="28.8" x14ac:dyDescent="0.3">
      <c r="A6" s="2" t="s">
        <v>6</v>
      </c>
      <c r="B6" s="5">
        <v>10000</v>
      </c>
    </row>
    <row r="7" spans="1:2" ht="28.8" x14ac:dyDescent="0.3">
      <c r="A7" s="2" t="s">
        <v>7</v>
      </c>
      <c r="B7" s="5">
        <v>10000</v>
      </c>
    </row>
    <row r="8" spans="1:2" ht="28.8" x14ac:dyDescent="0.3">
      <c r="A8" s="2" t="s">
        <v>8</v>
      </c>
      <c r="B8" s="5">
        <v>20000</v>
      </c>
    </row>
    <row r="9" spans="1:2" ht="28.8" x14ac:dyDescent="0.3">
      <c r="A9" s="2" t="s">
        <v>9</v>
      </c>
      <c r="B9" s="5">
        <v>60000</v>
      </c>
    </row>
    <row r="10" spans="1:2" x14ac:dyDescent="0.3">
      <c r="A10" s="2" t="s">
        <v>10</v>
      </c>
      <c r="B10" s="5">
        <v>35000</v>
      </c>
    </row>
    <row r="11" spans="1:2" x14ac:dyDescent="0.3">
      <c r="A11" s="2" t="s">
        <v>11</v>
      </c>
      <c r="B11" s="5">
        <v>10000</v>
      </c>
    </row>
    <row r="12" spans="1:2" x14ac:dyDescent="0.3">
      <c r="A12" s="2" t="s">
        <v>12</v>
      </c>
      <c r="B12" s="5">
        <v>12000</v>
      </c>
    </row>
    <row r="13" spans="1:2" x14ac:dyDescent="0.3">
      <c r="A13" s="2" t="s">
        <v>13</v>
      </c>
      <c r="B13" s="5">
        <v>25000</v>
      </c>
    </row>
    <row r="14" spans="1:2" x14ac:dyDescent="0.3">
      <c r="A14" s="2" t="s">
        <v>14</v>
      </c>
      <c r="B14" s="5">
        <v>15000</v>
      </c>
    </row>
    <row r="15" spans="1:2" x14ac:dyDescent="0.3">
      <c r="A15" s="2" t="s">
        <v>15</v>
      </c>
      <c r="B15" s="5">
        <v>40000</v>
      </c>
    </row>
    <row r="16" spans="1:2" x14ac:dyDescent="0.3">
      <c r="A16" s="2" t="s">
        <v>16</v>
      </c>
      <c r="B16" s="5">
        <v>20000</v>
      </c>
    </row>
    <row r="17" spans="1:2" x14ac:dyDescent="0.3">
      <c r="A17" s="2" t="s">
        <v>17</v>
      </c>
      <c r="B17" s="5">
        <v>17000</v>
      </c>
    </row>
    <row r="18" spans="1:2" x14ac:dyDescent="0.3">
      <c r="A18" s="2" t="s">
        <v>21</v>
      </c>
      <c r="B18" s="5">
        <v>20000</v>
      </c>
    </row>
    <row r="19" spans="1:2" x14ac:dyDescent="0.3">
      <c r="A19" s="2" t="s">
        <v>26</v>
      </c>
      <c r="B19" s="6">
        <v>25000</v>
      </c>
    </row>
    <row r="20" spans="1:2" x14ac:dyDescent="0.3">
      <c r="A20" s="2" t="s">
        <v>29</v>
      </c>
      <c r="B20" s="5">
        <v>5000</v>
      </c>
    </row>
    <row r="21" spans="1:2" x14ac:dyDescent="0.3">
      <c r="A21" s="2" t="s">
        <v>28</v>
      </c>
      <c r="B21" s="5">
        <v>25000</v>
      </c>
    </row>
    <row r="22" spans="1:2" x14ac:dyDescent="0.3">
      <c r="A22" s="2" t="s">
        <v>31</v>
      </c>
      <c r="B22" s="5">
        <v>20000</v>
      </c>
    </row>
    <row r="23" spans="1:2" x14ac:dyDescent="0.3">
      <c r="A23" s="2" t="s">
        <v>33</v>
      </c>
      <c r="B23" s="5">
        <v>55000</v>
      </c>
    </row>
    <row r="24" spans="1:2" x14ac:dyDescent="0.3">
      <c r="A24" s="2" t="s">
        <v>34</v>
      </c>
      <c r="B24" s="5">
        <v>25000</v>
      </c>
    </row>
    <row r="25" spans="1:2" x14ac:dyDescent="0.3">
      <c r="A25" s="2" t="s">
        <v>24</v>
      </c>
      <c r="B25" s="5">
        <v>35000</v>
      </c>
    </row>
    <row r="26" spans="1:2" ht="28.8" x14ac:dyDescent="0.3">
      <c r="A26" s="2" t="s">
        <v>38</v>
      </c>
      <c r="B26" s="5">
        <v>7000</v>
      </c>
    </row>
    <row r="27" spans="1:2" x14ac:dyDescent="0.3">
      <c r="A27" s="2" t="s">
        <v>39</v>
      </c>
      <c r="B27" s="6">
        <v>10000</v>
      </c>
    </row>
    <row r="28" spans="1:2" x14ac:dyDescent="0.3">
      <c r="A28" s="2" t="s">
        <v>45</v>
      </c>
      <c r="B28" s="6">
        <v>20000</v>
      </c>
    </row>
    <row r="29" spans="1:2" x14ac:dyDescent="0.3">
      <c r="A29" s="2" t="s">
        <v>46</v>
      </c>
      <c r="B29" s="6">
        <v>35000</v>
      </c>
    </row>
    <row r="30" spans="1:2" x14ac:dyDescent="0.3">
      <c r="A30" s="2" t="s">
        <v>47</v>
      </c>
      <c r="B30" s="6">
        <v>20000</v>
      </c>
    </row>
    <row r="31" spans="1:2" x14ac:dyDescent="0.3">
      <c r="A31" s="2" t="s">
        <v>48</v>
      </c>
      <c r="B31" s="6">
        <v>5000</v>
      </c>
    </row>
    <row r="32" spans="1:2" ht="28.8" x14ac:dyDescent="0.3">
      <c r="A32" s="2" t="s">
        <v>49</v>
      </c>
      <c r="B32" s="6">
        <v>7000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14A47-192D-463E-A041-54E1992E82DB}">
  <dimension ref="A1:N228"/>
  <sheetViews>
    <sheetView workbookViewId="0"/>
  </sheetViews>
  <sheetFormatPr defaultRowHeight="14.4" x14ac:dyDescent="0.3"/>
  <cols>
    <col min="1" max="1" width="22.44140625" bestFit="1" customWidth="1"/>
    <col min="2" max="2" width="10.5546875" style="3" bestFit="1" customWidth="1"/>
    <col min="3" max="3" width="10.5546875" style="3" customWidth="1"/>
    <col min="4" max="4" width="11.33203125" customWidth="1"/>
    <col min="5" max="5" width="14.44140625" style="7" bestFit="1" customWidth="1"/>
    <col min="11" max="11" width="11" customWidth="1"/>
    <col min="12" max="12" width="13.33203125" bestFit="1" customWidth="1"/>
    <col min="14" max="14" width="13.33203125" bestFit="1" customWidth="1"/>
  </cols>
  <sheetData>
    <row r="1" spans="1:14" x14ac:dyDescent="0.3">
      <c r="A1" t="s">
        <v>0</v>
      </c>
      <c r="B1" s="3" t="s">
        <v>18</v>
      </c>
      <c r="C1" s="3" t="s">
        <v>40</v>
      </c>
      <c r="D1" t="s">
        <v>19</v>
      </c>
      <c r="E1" s="7" t="s">
        <v>37</v>
      </c>
      <c r="F1" t="s">
        <v>51</v>
      </c>
    </row>
    <row r="2" spans="1:14" x14ac:dyDescent="0.3">
      <c r="A2" t="s">
        <v>20</v>
      </c>
      <c r="B2" s="3">
        <v>45938</v>
      </c>
      <c r="C2" s="3" t="str">
        <f>TEXT(B2, "mmm")</f>
        <v>Oct</v>
      </c>
      <c r="D2">
        <v>1</v>
      </c>
      <c r="E2" s="7">
        <f>IFERROR(VLOOKUP(A2, PriceTable!$A$1:$B$32, 2, FALSE) * D2, 0)</f>
        <v>35000</v>
      </c>
      <c r="F2" s="7">
        <f>SUM(E2:E66)</f>
        <v>2026000</v>
      </c>
    </row>
    <row r="3" spans="1:14" x14ac:dyDescent="0.3">
      <c r="A3" t="s">
        <v>24</v>
      </c>
      <c r="B3" s="3">
        <v>45939</v>
      </c>
      <c r="C3" s="3" t="str">
        <f t="shared" ref="C3:C66" si="0">TEXT(B3, "mmm")</f>
        <v>Oct</v>
      </c>
      <c r="D3">
        <v>2</v>
      </c>
      <c r="E3" s="7">
        <f>IFERROR(VLOOKUP(A3, PriceTable!$A$1:$B$32, 2, FALSE) * D3, 0)</f>
        <v>70000</v>
      </c>
    </row>
    <row r="4" spans="1:14" x14ac:dyDescent="0.3">
      <c r="A4" t="s">
        <v>21</v>
      </c>
      <c r="B4" s="3">
        <v>45939</v>
      </c>
      <c r="C4" s="3" t="str">
        <f t="shared" si="0"/>
        <v>Oct</v>
      </c>
      <c r="D4">
        <v>2</v>
      </c>
      <c r="E4" s="7">
        <f>IFERROR(VLOOKUP(A4, PriceTable!$A$1:$B$32, 2, FALSE) * D4, 0)</f>
        <v>40000</v>
      </c>
    </row>
    <row r="5" spans="1:14" x14ac:dyDescent="0.3">
      <c r="A5" t="s">
        <v>25</v>
      </c>
      <c r="B5" s="3">
        <v>45939</v>
      </c>
      <c r="C5" s="3" t="str">
        <f t="shared" si="0"/>
        <v>Oct</v>
      </c>
      <c r="D5">
        <v>1</v>
      </c>
      <c r="E5" s="7">
        <f>IFERROR(VLOOKUP(A5, PriceTable!$A$1:$B$32, 2, FALSE) * D5, 0)</f>
        <v>35000</v>
      </c>
    </row>
    <row r="6" spans="1:14" x14ac:dyDescent="0.3">
      <c r="A6" t="s">
        <v>21</v>
      </c>
      <c r="B6" s="3">
        <v>45940</v>
      </c>
      <c r="C6" s="3" t="str">
        <f t="shared" si="0"/>
        <v>Oct</v>
      </c>
      <c r="D6">
        <v>2</v>
      </c>
      <c r="E6" s="7">
        <f>IFERROR(VLOOKUP(A6, PriceTable!$A$1:$B$32, 2, FALSE) * D6, 0)</f>
        <v>40000</v>
      </c>
    </row>
    <row r="7" spans="1:14" x14ac:dyDescent="0.3">
      <c r="A7" t="s">
        <v>22</v>
      </c>
      <c r="B7" s="3">
        <v>45940</v>
      </c>
      <c r="C7" s="3" t="str">
        <f t="shared" si="0"/>
        <v>Oct</v>
      </c>
      <c r="D7">
        <v>1</v>
      </c>
      <c r="E7" s="7">
        <f>IFERROR(VLOOKUP(A7, PriceTable!$A$1:$B$32, 2, FALSE) * D7, 0)</f>
        <v>20000</v>
      </c>
    </row>
    <row r="8" spans="1:14" x14ac:dyDescent="0.3">
      <c r="A8" t="s">
        <v>23</v>
      </c>
      <c r="B8" s="3">
        <v>45940</v>
      </c>
      <c r="C8" s="3" t="str">
        <f t="shared" si="0"/>
        <v>Oct</v>
      </c>
      <c r="D8">
        <v>1</v>
      </c>
      <c r="E8" s="7">
        <f>IFERROR(VLOOKUP(A8, PriceTable!$A$1:$B$32, 2, FALSE) * D8, 0)</f>
        <v>10000</v>
      </c>
    </row>
    <row r="9" spans="1:14" ht="28.8" x14ac:dyDescent="0.3">
      <c r="A9" s="2" t="s">
        <v>5</v>
      </c>
      <c r="B9" s="3">
        <v>45940</v>
      </c>
      <c r="C9" s="3" t="str">
        <f t="shared" si="0"/>
        <v>Oct</v>
      </c>
      <c r="D9">
        <v>1</v>
      </c>
      <c r="E9" s="7">
        <f>IFERROR(VLOOKUP(A9, PriceTable!$A$1:$B$32, 2, FALSE) * D9, 0)</f>
        <v>10000</v>
      </c>
      <c r="K9" t="s">
        <v>52</v>
      </c>
      <c r="L9" s="12">
        <f>SUM(E2:E66)</f>
        <v>2026000</v>
      </c>
      <c r="N9" t="s">
        <v>55</v>
      </c>
    </row>
    <row r="10" spans="1:14" ht="28.8" x14ac:dyDescent="0.3">
      <c r="A10" s="2" t="s">
        <v>5</v>
      </c>
      <c r="B10" s="3">
        <v>45941</v>
      </c>
      <c r="C10" s="3" t="str">
        <f t="shared" si="0"/>
        <v>Oct</v>
      </c>
      <c r="D10">
        <v>2</v>
      </c>
      <c r="E10" s="7">
        <f>IFERROR(VLOOKUP(A10, PriceTable!$A$1:$B$32, 2, FALSE) * D10, 0)</f>
        <v>20000</v>
      </c>
      <c r="K10" t="s">
        <v>53</v>
      </c>
      <c r="L10" s="12">
        <f>SUM(E67:E121)</f>
        <v>1199000</v>
      </c>
      <c r="N10" s="7">
        <f>SUM(L9:L11)</f>
        <v>6397000</v>
      </c>
    </row>
    <row r="11" spans="1:14" x14ac:dyDescent="0.3">
      <c r="A11" t="s">
        <v>23</v>
      </c>
      <c r="B11" s="3">
        <v>45941</v>
      </c>
      <c r="C11" s="3" t="str">
        <f t="shared" si="0"/>
        <v>Oct</v>
      </c>
      <c r="D11">
        <v>1</v>
      </c>
      <c r="E11" s="7">
        <f>IFERROR(VLOOKUP(A11, PriceTable!$A$1:$B$32, 2, FALSE) * D11, 0)</f>
        <v>10000</v>
      </c>
      <c r="K11" t="s">
        <v>54</v>
      </c>
      <c r="L11" s="12">
        <f>SUM(E122:E228)</f>
        <v>3172000</v>
      </c>
    </row>
    <row r="12" spans="1:14" x14ac:dyDescent="0.3">
      <c r="A12" t="s">
        <v>26</v>
      </c>
      <c r="B12" s="3">
        <v>45941</v>
      </c>
      <c r="C12" s="3" t="str">
        <f t="shared" si="0"/>
        <v>Oct</v>
      </c>
      <c r="D12">
        <v>1</v>
      </c>
      <c r="E12" s="7">
        <f>IFERROR(VLOOKUP(A12, PriceTable!$A$1:$B$32, 2, FALSE) * D12, 0)</f>
        <v>25000</v>
      </c>
    </row>
    <row r="13" spans="1:14" x14ac:dyDescent="0.3">
      <c r="A13" t="s">
        <v>22</v>
      </c>
      <c r="B13" s="3">
        <v>45941</v>
      </c>
      <c r="C13" s="3" t="str">
        <f t="shared" si="0"/>
        <v>Oct</v>
      </c>
      <c r="D13">
        <v>1</v>
      </c>
      <c r="E13" s="7">
        <f>IFERROR(VLOOKUP(A13, PriceTable!$A$1:$B$32, 2, FALSE) * D13, 0)</f>
        <v>20000</v>
      </c>
    </row>
    <row r="14" spans="1:14" x14ac:dyDescent="0.3">
      <c r="A14" t="s">
        <v>21</v>
      </c>
      <c r="B14" s="3">
        <v>45941</v>
      </c>
      <c r="C14" s="3" t="str">
        <f t="shared" si="0"/>
        <v>Oct</v>
      </c>
      <c r="D14">
        <v>1</v>
      </c>
      <c r="E14" s="7">
        <f>IFERROR(VLOOKUP(A14, PriceTable!$A$1:$B$32, 2, FALSE) * D14, 0)</f>
        <v>20000</v>
      </c>
    </row>
    <row r="15" spans="1:14" x14ac:dyDescent="0.3">
      <c r="A15" t="s">
        <v>24</v>
      </c>
      <c r="B15" s="3">
        <v>45943</v>
      </c>
      <c r="C15" s="3" t="str">
        <f t="shared" si="0"/>
        <v>Oct</v>
      </c>
      <c r="D15">
        <v>2</v>
      </c>
      <c r="E15" s="7">
        <f>IFERROR(VLOOKUP(A15, PriceTable!$A$1:$B$32, 2, FALSE) * D15, 0)</f>
        <v>70000</v>
      </c>
    </row>
    <row r="16" spans="1:14" ht="28.8" x14ac:dyDescent="0.3">
      <c r="A16" s="2" t="s">
        <v>5</v>
      </c>
      <c r="B16" s="3">
        <v>45943</v>
      </c>
      <c r="C16" s="3" t="str">
        <f t="shared" si="0"/>
        <v>Oct</v>
      </c>
      <c r="D16">
        <v>1</v>
      </c>
      <c r="E16" s="7">
        <f>IFERROR(VLOOKUP(A16, PriceTable!$A$1:$B$32, 2, FALSE) * D16, 0)</f>
        <v>10000</v>
      </c>
    </row>
    <row r="17" spans="1:5" x14ac:dyDescent="0.3">
      <c r="A17" t="s">
        <v>27</v>
      </c>
      <c r="B17" s="3">
        <v>45943</v>
      </c>
      <c r="C17" s="3" t="str">
        <f t="shared" si="0"/>
        <v>Oct</v>
      </c>
      <c r="D17">
        <v>1</v>
      </c>
      <c r="E17" s="7">
        <f>IFERROR(VLOOKUP(A17, PriceTable!$A$1:$B$32, 2, FALSE) * D17, 0)</f>
        <v>10000</v>
      </c>
    </row>
    <row r="18" spans="1:5" ht="28.8" x14ac:dyDescent="0.3">
      <c r="A18" s="2" t="s">
        <v>5</v>
      </c>
      <c r="B18" s="3">
        <v>45945</v>
      </c>
      <c r="C18" s="3" t="str">
        <f t="shared" si="0"/>
        <v>Oct</v>
      </c>
      <c r="D18">
        <v>1</v>
      </c>
      <c r="E18" s="7">
        <f>IFERROR(VLOOKUP(A18, PriceTable!$A$1:$B$32, 2, FALSE) * D18, 0)</f>
        <v>10000</v>
      </c>
    </row>
    <row r="19" spans="1:5" x14ac:dyDescent="0.3">
      <c r="A19" t="s">
        <v>23</v>
      </c>
      <c r="B19" s="3">
        <v>45945</v>
      </c>
      <c r="C19" s="3" t="str">
        <f t="shared" si="0"/>
        <v>Oct</v>
      </c>
      <c r="D19">
        <v>1</v>
      </c>
      <c r="E19" s="7">
        <f>IFERROR(VLOOKUP(A19, PriceTable!$A$1:$B$32, 2, FALSE) * D19, 0)</f>
        <v>10000</v>
      </c>
    </row>
    <row r="20" spans="1:5" x14ac:dyDescent="0.3">
      <c r="A20" s="2" t="s">
        <v>21</v>
      </c>
      <c r="B20" s="3">
        <v>45945</v>
      </c>
      <c r="C20" s="3" t="str">
        <f t="shared" si="0"/>
        <v>Oct</v>
      </c>
      <c r="D20">
        <v>1</v>
      </c>
      <c r="E20" s="7">
        <f>IFERROR(VLOOKUP(A20, PriceTable!$A$1:$B$32, 2, FALSE) * D20, 0)</f>
        <v>20000</v>
      </c>
    </row>
    <row r="21" spans="1:5" x14ac:dyDescent="0.3">
      <c r="A21" t="s">
        <v>31</v>
      </c>
      <c r="B21" s="3">
        <v>45945</v>
      </c>
      <c r="C21" s="3" t="str">
        <f t="shared" si="0"/>
        <v>Oct</v>
      </c>
      <c r="D21">
        <v>1</v>
      </c>
      <c r="E21" s="7">
        <f>IFERROR(VLOOKUP(A21, PriceTable!$A$1:$B$32, 2, FALSE) * D21, 0)</f>
        <v>20000</v>
      </c>
    </row>
    <row r="22" spans="1:5" x14ac:dyDescent="0.3">
      <c r="A22" s="2" t="s">
        <v>24</v>
      </c>
      <c r="B22" s="3">
        <v>45948</v>
      </c>
      <c r="C22" s="3" t="str">
        <f t="shared" si="0"/>
        <v>Oct</v>
      </c>
      <c r="D22">
        <v>1</v>
      </c>
      <c r="E22" s="7">
        <f>IFERROR(VLOOKUP(A22, PriceTable!$A$1:$B$32, 2, FALSE) * D22, 0)</f>
        <v>35000</v>
      </c>
    </row>
    <row r="23" spans="1:5" x14ac:dyDescent="0.3">
      <c r="A23" t="s">
        <v>28</v>
      </c>
      <c r="B23" s="3">
        <v>45948</v>
      </c>
      <c r="C23" s="3" t="str">
        <f t="shared" si="0"/>
        <v>Oct</v>
      </c>
      <c r="D23">
        <v>1</v>
      </c>
      <c r="E23" s="7">
        <f>IFERROR(VLOOKUP(A23, PriceTable!$A$1:$B$32, 2, FALSE) * D23, 0)</f>
        <v>25000</v>
      </c>
    </row>
    <row r="24" spans="1:5" x14ac:dyDescent="0.3">
      <c r="A24" s="2" t="s">
        <v>22</v>
      </c>
      <c r="B24" s="3">
        <v>45948</v>
      </c>
      <c r="C24" s="3" t="str">
        <f t="shared" si="0"/>
        <v>Oct</v>
      </c>
      <c r="D24">
        <v>1</v>
      </c>
      <c r="E24" s="7">
        <f>IFERROR(VLOOKUP(A24, PriceTable!$A$1:$B$32, 2, FALSE) * D24, 0)</f>
        <v>20000</v>
      </c>
    </row>
    <row r="25" spans="1:5" ht="28.8" x14ac:dyDescent="0.3">
      <c r="A25" s="2" t="s">
        <v>5</v>
      </c>
      <c r="B25" s="3">
        <v>45948</v>
      </c>
      <c r="C25" s="3" t="str">
        <f t="shared" si="0"/>
        <v>Oct</v>
      </c>
      <c r="D25">
        <v>1</v>
      </c>
      <c r="E25" s="7">
        <f>IFERROR(VLOOKUP(A25, PriceTable!$A$1:$B$32, 2, FALSE) * D25, 0)</f>
        <v>10000</v>
      </c>
    </row>
    <row r="26" spans="1:5" x14ac:dyDescent="0.3">
      <c r="A26" s="2" t="s">
        <v>27</v>
      </c>
      <c r="B26" s="3">
        <v>45948</v>
      </c>
      <c r="C26" s="3" t="str">
        <f t="shared" si="0"/>
        <v>Oct</v>
      </c>
      <c r="D26">
        <v>1</v>
      </c>
      <c r="E26" s="7">
        <f>IFERROR(VLOOKUP(A26, PriceTable!$A$1:$B$32, 2, FALSE) * D26, 0)</f>
        <v>10000</v>
      </c>
    </row>
    <row r="27" spans="1:5" x14ac:dyDescent="0.3">
      <c r="A27" s="2" t="s">
        <v>29</v>
      </c>
      <c r="B27" s="3">
        <v>45948</v>
      </c>
      <c r="C27" s="3" t="str">
        <f t="shared" si="0"/>
        <v>Oct</v>
      </c>
      <c r="D27">
        <v>1</v>
      </c>
      <c r="E27" s="7">
        <f>IFERROR(VLOOKUP(A27, PriceTable!$A$1:$B$32, 2, FALSE) * D27, 0)</f>
        <v>5000</v>
      </c>
    </row>
    <row r="28" spans="1:5" x14ac:dyDescent="0.3">
      <c r="A28" s="2" t="s">
        <v>22</v>
      </c>
      <c r="B28" s="3">
        <v>45951</v>
      </c>
      <c r="C28" s="3" t="str">
        <f t="shared" si="0"/>
        <v>Oct</v>
      </c>
      <c r="D28">
        <v>1</v>
      </c>
      <c r="E28" s="7">
        <f>IFERROR(VLOOKUP(A28, PriceTable!$A$1:$B$32, 2, FALSE) * D28, 0)</f>
        <v>20000</v>
      </c>
    </row>
    <row r="29" spans="1:5" x14ac:dyDescent="0.3">
      <c r="A29" s="2" t="s">
        <v>30</v>
      </c>
      <c r="B29" s="3">
        <v>45951</v>
      </c>
      <c r="C29" s="3" t="str">
        <f t="shared" si="0"/>
        <v>Oct</v>
      </c>
      <c r="D29">
        <v>2</v>
      </c>
      <c r="E29" s="7">
        <f>IFERROR(VLOOKUP(A29, PriceTable!$A$1:$B$32, 2, FALSE) * D29, 0)</f>
        <v>20000</v>
      </c>
    </row>
    <row r="30" spans="1:5" x14ac:dyDescent="0.3">
      <c r="A30" s="2" t="s">
        <v>20</v>
      </c>
      <c r="B30" s="3">
        <v>45953</v>
      </c>
      <c r="C30" s="3" t="str">
        <f t="shared" si="0"/>
        <v>Oct</v>
      </c>
      <c r="D30">
        <v>2</v>
      </c>
      <c r="E30" s="7">
        <f>IFERROR(VLOOKUP(A30, PriceTable!$A$1:$B$32, 2, FALSE) * D30, 0)</f>
        <v>70000</v>
      </c>
    </row>
    <row r="31" spans="1:5" x14ac:dyDescent="0.3">
      <c r="A31" s="2" t="s">
        <v>23</v>
      </c>
      <c r="B31" s="3">
        <v>45953</v>
      </c>
      <c r="C31" s="3" t="str">
        <f t="shared" si="0"/>
        <v>Oct</v>
      </c>
      <c r="D31">
        <v>2</v>
      </c>
      <c r="E31" s="7">
        <f>IFERROR(VLOOKUP(A31, PriceTable!$A$1:$B$32, 2, FALSE) * D31, 0)</f>
        <v>20000</v>
      </c>
    </row>
    <row r="32" spans="1:5" ht="28.8" x14ac:dyDescent="0.3">
      <c r="A32" s="2" t="s">
        <v>5</v>
      </c>
      <c r="B32" s="3">
        <v>45953</v>
      </c>
      <c r="C32" s="3" t="str">
        <f t="shared" si="0"/>
        <v>Oct</v>
      </c>
      <c r="D32">
        <v>2</v>
      </c>
      <c r="E32" s="7">
        <f>IFERROR(VLOOKUP(A32, PriceTable!$A$1:$B$32, 2, FALSE) * D32, 0)</f>
        <v>20000</v>
      </c>
    </row>
    <row r="33" spans="1:5" x14ac:dyDescent="0.3">
      <c r="A33" s="2" t="s">
        <v>24</v>
      </c>
      <c r="B33" s="3">
        <v>45953</v>
      </c>
      <c r="C33" s="3" t="str">
        <f t="shared" si="0"/>
        <v>Oct</v>
      </c>
      <c r="D33">
        <v>1</v>
      </c>
      <c r="E33" s="7">
        <f>IFERROR(VLOOKUP(A33, PriceTable!$A$1:$B$32, 2, FALSE) * D33, 0)</f>
        <v>35000</v>
      </c>
    </row>
    <row r="34" spans="1:5" x14ac:dyDescent="0.3">
      <c r="A34" s="2" t="s">
        <v>22</v>
      </c>
      <c r="B34" s="3">
        <v>45953</v>
      </c>
      <c r="C34" s="3" t="str">
        <f t="shared" si="0"/>
        <v>Oct</v>
      </c>
      <c r="D34">
        <v>1</v>
      </c>
      <c r="E34" s="7">
        <f>IFERROR(VLOOKUP(A34, PriceTable!$A$1:$B$32, 2, FALSE) * D34, 0)</f>
        <v>20000</v>
      </c>
    </row>
    <row r="35" spans="1:5" ht="28.8" x14ac:dyDescent="0.3">
      <c r="A35" s="2" t="s">
        <v>5</v>
      </c>
      <c r="B35" s="3">
        <v>45954</v>
      </c>
      <c r="C35" s="3" t="str">
        <f t="shared" si="0"/>
        <v>Oct</v>
      </c>
      <c r="D35">
        <v>1</v>
      </c>
      <c r="E35" s="7">
        <f>IFERROR(VLOOKUP(A35, PriceTable!$A$1:$B$32, 2, FALSE) * D35, 0)</f>
        <v>10000</v>
      </c>
    </row>
    <row r="36" spans="1:5" x14ac:dyDescent="0.3">
      <c r="A36" s="2" t="s">
        <v>23</v>
      </c>
      <c r="B36" s="3">
        <v>45954</v>
      </c>
      <c r="C36" s="3" t="str">
        <f t="shared" si="0"/>
        <v>Oct</v>
      </c>
      <c r="D36">
        <v>1</v>
      </c>
      <c r="E36" s="7">
        <f>IFERROR(VLOOKUP(A36, PriceTable!$A$1:$B$32, 2, FALSE) * D36, 0)</f>
        <v>10000</v>
      </c>
    </row>
    <row r="37" spans="1:5" x14ac:dyDescent="0.3">
      <c r="A37" s="2" t="s">
        <v>22</v>
      </c>
      <c r="B37" s="3">
        <v>45954</v>
      </c>
      <c r="C37" s="3" t="str">
        <f t="shared" si="0"/>
        <v>Oct</v>
      </c>
      <c r="D37">
        <v>1</v>
      </c>
      <c r="E37" s="7">
        <f>IFERROR(VLOOKUP(A37, PriceTable!$A$1:$B$32, 2, FALSE) * D37, 0)</f>
        <v>20000</v>
      </c>
    </row>
    <row r="38" spans="1:5" x14ac:dyDescent="0.3">
      <c r="A38" s="2" t="s">
        <v>30</v>
      </c>
      <c r="B38" s="3">
        <v>45954</v>
      </c>
      <c r="C38" s="3" t="str">
        <f t="shared" si="0"/>
        <v>Oct</v>
      </c>
      <c r="D38">
        <v>2</v>
      </c>
      <c r="E38" s="7">
        <f>IFERROR(VLOOKUP(A38, PriceTable!$A$1:$B$32, 2, FALSE) * D38, 0)</f>
        <v>20000</v>
      </c>
    </row>
    <row r="39" spans="1:5" x14ac:dyDescent="0.3">
      <c r="A39" s="2" t="s">
        <v>27</v>
      </c>
      <c r="B39" s="3">
        <v>45954</v>
      </c>
      <c r="C39" s="3" t="str">
        <f t="shared" si="0"/>
        <v>Oct</v>
      </c>
      <c r="D39">
        <v>1</v>
      </c>
      <c r="E39" s="7">
        <f>IFERROR(VLOOKUP(A39, PriceTable!$A$1:$B$32, 2, FALSE) * D39, 0)</f>
        <v>10000</v>
      </c>
    </row>
    <row r="40" spans="1:5" x14ac:dyDescent="0.3">
      <c r="A40" s="2" t="s">
        <v>31</v>
      </c>
      <c r="B40" s="3">
        <v>45954</v>
      </c>
      <c r="C40" s="3" t="str">
        <f t="shared" si="0"/>
        <v>Oct</v>
      </c>
      <c r="D40">
        <v>4</v>
      </c>
      <c r="E40" s="7">
        <f>IFERROR(VLOOKUP(A40, PriceTable!$A$1:$B$32, 2, FALSE) * D40, 0)</f>
        <v>80000</v>
      </c>
    </row>
    <row r="41" spans="1:5" x14ac:dyDescent="0.3">
      <c r="A41" s="2" t="s">
        <v>17</v>
      </c>
      <c r="B41" s="3">
        <v>45954</v>
      </c>
      <c r="C41" s="3" t="str">
        <f t="shared" si="0"/>
        <v>Oct</v>
      </c>
      <c r="D41">
        <v>1</v>
      </c>
      <c r="E41" s="7">
        <f>IFERROR(VLOOKUP(A41, PriceTable!$A$1:$B$32, 2, FALSE) * D41, 0)</f>
        <v>17000</v>
      </c>
    </row>
    <row r="42" spans="1:5" x14ac:dyDescent="0.3">
      <c r="A42" s="2" t="s">
        <v>20</v>
      </c>
      <c r="B42" s="3">
        <v>45954</v>
      </c>
      <c r="C42" s="3" t="str">
        <f t="shared" si="0"/>
        <v>Oct</v>
      </c>
      <c r="D42">
        <v>1</v>
      </c>
      <c r="E42" s="7">
        <f>IFERROR(VLOOKUP(A42, PriceTable!$A$1:$B$32, 2, FALSE) * D42, 0)</f>
        <v>35000</v>
      </c>
    </row>
    <row r="43" spans="1:5" x14ac:dyDescent="0.3">
      <c r="A43" s="2" t="s">
        <v>20</v>
      </c>
      <c r="B43" s="3">
        <v>45955</v>
      </c>
      <c r="C43" s="3" t="str">
        <f t="shared" si="0"/>
        <v>Oct</v>
      </c>
      <c r="D43">
        <v>1</v>
      </c>
      <c r="E43" s="7">
        <f>IFERROR(VLOOKUP(A43, PriceTable!$A$1:$B$32, 2, FALSE) * D43, 0)</f>
        <v>35000</v>
      </c>
    </row>
    <row r="44" spans="1:5" ht="28.8" x14ac:dyDescent="0.3">
      <c r="A44" s="2" t="s">
        <v>5</v>
      </c>
      <c r="B44" s="3">
        <v>45955</v>
      </c>
      <c r="C44" s="3" t="str">
        <f t="shared" si="0"/>
        <v>Oct</v>
      </c>
      <c r="D44">
        <v>3</v>
      </c>
      <c r="E44" s="7">
        <f>IFERROR(VLOOKUP(A44, PriceTable!$A$1:$B$32, 2, FALSE) * D44, 0)</f>
        <v>30000</v>
      </c>
    </row>
    <row r="45" spans="1:5" x14ac:dyDescent="0.3">
      <c r="A45" s="2" t="s">
        <v>23</v>
      </c>
      <c r="B45" s="3">
        <v>45955</v>
      </c>
      <c r="C45" s="3" t="str">
        <f t="shared" si="0"/>
        <v>Oct</v>
      </c>
      <c r="D45">
        <v>1</v>
      </c>
      <c r="E45" s="7">
        <f>IFERROR(VLOOKUP(A45, PriceTable!$A$1:$B$32, 2, FALSE) * D45, 0)</f>
        <v>10000</v>
      </c>
    </row>
    <row r="46" spans="1:5" x14ac:dyDescent="0.3">
      <c r="A46" s="2" t="s">
        <v>32</v>
      </c>
      <c r="B46" s="3">
        <v>45955</v>
      </c>
      <c r="C46" s="3" t="str">
        <f t="shared" si="0"/>
        <v>Oct</v>
      </c>
      <c r="D46">
        <v>1</v>
      </c>
      <c r="E46" s="7">
        <f>IFERROR(VLOOKUP(A46, PriceTable!$A$1:$B$32, 2, FALSE) * D46, 0)</f>
        <v>15000</v>
      </c>
    </row>
    <row r="47" spans="1:5" x14ac:dyDescent="0.3">
      <c r="A47" s="2" t="s">
        <v>33</v>
      </c>
      <c r="B47" s="3">
        <v>45955</v>
      </c>
      <c r="C47" s="3" t="str">
        <f t="shared" si="0"/>
        <v>Oct</v>
      </c>
      <c r="D47">
        <v>1</v>
      </c>
      <c r="E47" s="7">
        <f>IFERROR(VLOOKUP(A47, PriceTable!$A$1:$B$32, 2, FALSE) * D47, 0)</f>
        <v>55000</v>
      </c>
    </row>
    <row r="48" spans="1:5" x14ac:dyDescent="0.3">
      <c r="A48" s="2" t="s">
        <v>34</v>
      </c>
      <c r="B48" s="3">
        <v>45955</v>
      </c>
      <c r="C48" s="3" t="str">
        <f t="shared" si="0"/>
        <v>Oct</v>
      </c>
      <c r="D48">
        <v>1</v>
      </c>
      <c r="E48" s="7">
        <f>IFERROR(VLOOKUP(A48, PriceTable!$A$1:$B$32, 2, FALSE) * D48, 0)</f>
        <v>25000</v>
      </c>
    </row>
    <row r="49" spans="1:5" x14ac:dyDescent="0.3">
      <c r="A49" s="2" t="s">
        <v>25</v>
      </c>
      <c r="B49" s="3">
        <v>45955</v>
      </c>
      <c r="C49" s="3" t="str">
        <f t="shared" si="0"/>
        <v>Oct</v>
      </c>
      <c r="D49">
        <v>1</v>
      </c>
      <c r="E49" s="7">
        <f>IFERROR(VLOOKUP(A49, PriceTable!$A$1:$B$32, 2, FALSE) * D49, 0)</f>
        <v>35000</v>
      </c>
    </row>
    <row r="50" spans="1:5" x14ac:dyDescent="0.3">
      <c r="A50" s="2" t="s">
        <v>30</v>
      </c>
      <c r="B50" s="3">
        <v>45955</v>
      </c>
      <c r="C50" s="3" t="str">
        <f t="shared" si="0"/>
        <v>Oct</v>
      </c>
      <c r="D50">
        <v>1</v>
      </c>
      <c r="E50" s="7">
        <f>IFERROR(VLOOKUP(A50, PriceTable!$A$1:$B$32, 2, FALSE) * D50, 0)</f>
        <v>10000</v>
      </c>
    </row>
    <row r="51" spans="1:5" x14ac:dyDescent="0.3">
      <c r="A51" s="2" t="s">
        <v>26</v>
      </c>
      <c r="B51" s="3">
        <v>45955</v>
      </c>
      <c r="C51" s="3" t="str">
        <f t="shared" si="0"/>
        <v>Oct</v>
      </c>
      <c r="D51">
        <v>1</v>
      </c>
      <c r="E51" s="7">
        <f>IFERROR(VLOOKUP(A51, PriceTable!$A$1:$B$32, 2, FALSE) * D51, 0)</f>
        <v>25000</v>
      </c>
    </row>
    <row r="52" spans="1:5" x14ac:dyDescent="0.3">
      <c r="A52" s="2" t="s">
        <v>25</v>
      </c>
      <c r="B52" s="3">
        <v>45957</v>
      </c>
      <c r="C52" s="3" t="str">
        <f t="shared" si="0"/>
        <v>Oct</v>
      </c>
      <c r="D52">
        <v>4</v>
      </c>
      <c r="E52" s="7">
        <f>IFERROR(VLOOKUP(A52, PriceTable!$A$1:$B$32, 2, FALSE) * D52, 0)</f>
        <v>140000</v>
      </c>
    </row>
    <row r="53" spans="1:5" x14ac:dyDescent="0.3">
      <c r="A53" s="2" t="s">
        <v>20</v>
      </c>
      <c r="B53" s="3">
        <v>45957</v>
      </c>
      <c r="C53" s="3" t="str">
        <f t="shared" si="0"/>
        <v>Oct</v>
      </c>
      <c r="D53">
        <v>1</v>
      </c>
      <c r="E53" s="7">
        <f>IFERROR(VLOOKUP(A53, PriceTable!$A$1:$B$32, 2, FALSE) * D53, 0)</f>
        <v>35000</v>
      </c>
    </row>
    <row r="54" spans="1:5" x14ac:dyDescent="0.3">
      <c r="A54" s="2" t="s">
        <v>22</v>
      </c>
      <c r="B54" s="3">
        <v>45957</v>
      </c>
      <c r="C54" s="3" t="str">
        <f t="shared" si="0"/>
        <v>Oct</v>
      </c>
      <c r="D54">
        <v>7</v>
      </c>
      <c r="E54" s="7">
        <f>IFERROR(VLOOKUP(A54, PriceTable!$A$1:$B$32, 2, FALSE) * D54, 0)</f>
        <v>140000</v>
      </c>
    </row>
    <row r="55" spans="1:5" x14ac:dyDescent="0.3">
      <c r="A55" s="2" t="s">
        <v>23</v>
      </c>
      <c r="B55" s="3">
        <v>45957</v>
      </c>
      <c r="C55" s="3" t="str">
        <f t="shared" si="0"/>
        <v>Oct</v>
      </c>
      <c r="D55">
        <v>7</v>
      </c>
      <c r="E55" s="7">
        <f>IFERROR(VLOOKUP(A55, PriceTable!$A$1:$B$32, 2, FALSE) * D55, 0)</f>
        <v>70000</v>
      </c>
    </row>
    <row r="56" spans="1:5" x14ac:dyDescent="0.3">
      <c r="A56" s="2" t="s">
        <v>30</v>
      </c>
      <c r="B56" s="3">
        <v>45957</v>
      </c>
      <c r="C56" s="3" t="str">
        <f t="shared" si="0"/>
        <v>Oct</v>
      </c>
      <c r="D56">
        <v>3</v>
      </c>
      <c r="E56" s="7">
        <f>IFERROR(VLOOKUP(A56, PriceTable!$A$1:$B$32, 2, FALSE) * D56, 0)</f>
        <v>30000</v>
      </c>
    </row>
    <row r="57" spans="1:5" ht="28.8" x14ac:dyDescent="0.3">
      <c r="A57" s="2" t="s">
        <v>5</v>
      </c>
      <c r="B57" s="3">
        <v>45957</v>
      </c>
      <c r="C57" s="3" t="str">
        <f t="shared" si="0"/>
        <v>Oct</v>
      </c>
      <c r="D57">
        <v>5</v>
      </c>
      <c r="E57" s="7">
        <f>IFERROR(VLOOKUP(A57, PriceTable!$A$1:$B$32, 2, FALSE) * D57, 0)</f>
        <v>50000</v>
      </c>
    </row>
    <row r="58" spans="1:5" x14ac:dyDescent="0.3">
      <c r="A58" s="2" t="s">
        <v>35</v>
      </c>
      <c r="B58" s="3">
        <v>45957</v>
      </c>
      <c r="C58" s="3" t="str">
        <f t="shared" si="0"/>
        <v>Oct</v>
      </c>
      <c r="D58">
        <v>7</v>
      </c>
      <c r="E58" s="7">
        <f>IFERROR(VLOOKUP(A58, PriceTable!$A$1:$B$32, 2, FALSE) * D58, 0)</f>
        <v>84000</v>
      </c>
    </row>
    <row r="59" spans="1:5" x14ac:dyDescent="0.3">
      <c r="A59" s="2" t="s">
        <v>36</v>
      </c>
      <c r="B59" s="3">
        <v>45957</v>
      </c>
      <c r="C59" s="3" t="str">
        <f t="shared" si="0"/>
        <v>Oct</v>
      </c>
      <c r="D59">
        <v>1</v>
      </c>
      <c r="E59" s="7">
        <f>IFERROR(VLOOKUP(A59, PriceTable!$A$1:$B$32, 2, FALSE) * D59, 0)</f>
        <v>25000</v>
      </c>
    </row>
    <row r="60" spans="1:5" x14ac:dyDescent="0.3">
      <c r="A60" s="2" t="s">
        <v>21</v>
      </c>
      <c r="B60" s="3">
        <v>45957</v>
      </c>
      <c r="C60" s="3" t="str">
        <f t="shared" si="0"/>
        <v>Oct</v>
      </c>
      <c r="D60">
        <v>1</v>
      </c>
      <c r="E60" s="7">
        <f>IFERROR(VLOOKUP(A60, PriceTable!$A$1:$B$32, 2, FALSE) * D60, 0)</f>
        <v>20000</v>
      </c>
    </row>
    <row r="61" spans="1:5" x14ac:dyDescent="0.3">
      <c r="A61" s="2" t="s">
        <v>27</v>
      </c>
      <c r="B61" s="3">
        <v>45957</v>
      </c>
      <c r="C61" s="3" t="str">
        <f t="shared" si="0"/>
        <v>Oct</v>
      </c>
      <c r="D61">
        <v>4</v>
      </c>
      <c r="E61" s="7">
        <f>IFERROR(VLOOKUP(A61, PriceTable!$A$1:$B$32, 2, FALSE) * D61, 0)</f>
        <v>40000</v>
      </c>
    </row>
    <row r="62" spans="1:5" x14ac:dyDescent="0.3">
      <c r="A62" s="2" t="s">
        <v>26</v>
      </c>
      <c r="B62" s="3">
        <v>45957</v>
      </c>
      <c r="C62" s="3" t="str">
        <f t="shared" si="0"/>
        <v>Oct</v>
      </c>
      <c r="D62">
        <v>1</v>
      </c>
      <c r="E62" s="7">
        <f>IFERROR(VLOOKUP(A62, PriceTable!$A$1:$B$32, 2, FALSE) * D62, 0)</f>
        <v>25000</v>
      </c>
    </row>
    <row r="63" spans="1:5" x14ac:dyDescent="0.3">
      <c r="A63" s="2" t="s">
        <v>25</v>
      </c>
      <c r="B63" s="3">
        <v>45958</v>
      </c>
      <c r="C63" s="3" t="str">
        <f t="shared" si="0"/>
        <v>Oct</v>
      </c>
      <c r="D63">
        <v>2</v>
      </c>
      <c r="E63" s="7">
        <f>IFERROR(VLOOKUP(A63, PriceTable!$A$1:$B$32, 2, FALSE) * D63, 0)</f>
        <v>70000</v>
      </c>
    </row>
    <row r="64" spans="1:5" x14ac:dyDescent="0.3">
      <c r="A64" s="2" t="s">
        <v>22</v>
      </c>
      <c r="B64" s="3">
        <v>45958</v>
      </c>
      <c r="C64" s="3" t="str">
        <f t="shared" si="0"/>
        <v>Oct</v>
      </c>
      <c r="D64">
        <v>1</v>
      </c>
      <c r="E64" s="7">
        <f>IFERROR(VLOOKUP(A64, PriceTable!$A$1:$B$32, 2, FALSE) * D64, 0)</f>
        <v>20000</v>
      </c>
    </row>
    <row r="65" spans="1:5" x14ac:dyDescent="0.3">
      <c r="A65" s="2" t="s">
        <v>27</v>
      </c>
      <c r="B65" s="3">
        <v>45958</v>
      </c>
      <c r="C65" s="3" t="str">
        <f t="shared" si="0"/>
        <v>Oct</v>
      </c>
      <c r="D65">
        <v>1</v>
      </c>
      <c r="E65" s="7">
        <f>IFERROR(VLOOKUP(A65, PriceTable!$A$1:$B$32, 2, FALSE) * D65, 0)</f>
        <v>10000</v>
      </c>
    </row>
    <row r="66" spans="1:5" ht="28.8" x14ac:dyDescent="0.3">
      <c r="A66" s="2" t="s">
        <v>5</v>
      </c>
      <c r="B66" s="3">
        <v>45958</v>
      </c>
      <c r="C66" s="3" t="str">
        <f t="shared" si="0"/>
        <v>Oct</v>
      </c>
      <c r="D66">
        <v>1</v>
      </c>
      <c r="E66" s="7">
        <f>IFERROR(VLOOKUP(A66, PriceTable!$A$1:$B$32, 2, FALSE) * D66, 0)</f>
        <v>10000</v>
      </c>
    </row>
    <row r="67" spans="1:5" x14ac:dyDescent="0.3">
      <c r="A67" s="2" t="s">
        <v>23</v>
      </c>
      <c r="B67" s="3">
        <v>45965</v>
      </c>
      <c r="C67" s="3" t="str">
        <f t="shared" ref="C67:C162" si="1">TEXT(B67, "mmm")</f>
        <v>Nov</v>
      </c>
      <c r="D67">
        <v>3</v>
      </c>
      <c r="E67" s="7">
        <f>IFERROR(VLOOKUP(A67, PriceTable!$A$1:$B$32, 2, FALSE) * D67, 0)</f>
        <v>30000</v>
      </c>
    </row>
    <row r="68" spans="1:5" ht="28.8" x14ac:dyDescent="0.3">
      <c r="A68" s="2" t="s">
        <v>5</v>
      </c>
      <c r="B68" s="3">
        <v>45966</v>
      </c>
      <c r="C68" s="3" t="str">
        <f t="shared" si="1"/>
        <v>Nov</v>
      </c>
      <c r="D68">
        <v>1</v>
      </c>
      <c r="E68" s="7">
        <f>IFERROR(VLOOKUP(A68, PriceTable!$A$1:$B$32, 2, FALSE) * D68, 0)</f>
        <v>10000</v>
      </c>
    </row>
    <row r="69" spans="1:5" x14ac:dyDescent="0.3">
      <c r="A69" s="2" t="s">
        <v>35</v>
      </c>
      <c r="B69" s="3">
        <v>45966</v>
      </c>
      <c r="C69" s="3" t="str">
        <f t="shared" si="1"/>
        <v>Nov</v>
      </c>
      <c r="D69">
        <v>2</v>
      </c>
      <c r="E69" s="7">
        <f>IFERROR(VLOOKUP(A69, PriceTable!$A$1:$B$32, 2, FALSE) * D69, 0)</f>
        <v>24000</v>
      </c>
    </row>
    <row r="70" spans="1:5" x14ac:dyDescent="0.3">
      <c r="A70" s="2" t="s">
        <v>21</v>
      </c>
      <c r="B70" s="3">
        <v>45966</v>
      </c>
      <c r="C70" s="3" t="str">
        <f t="shared" si="1"/>
        <v>Nov</v>
      </c>
      <c r="D70">
        <v>1</v>
      </c>
      <c r="E70" s="7">
        <f>IFERROR(VLOOKUP(A70, PriceTable!$A$1:$B$32, 2, FALSE) * D70, 0)</f>
        <v>20000</v>
      </c>
    </row>
    <row r="71" spans="1:5" x14ac:dyDescent="0.3">
      <c r="A71" s="2" t="s">
        <v>24</v>
      </c>
      <c r="B71" s="3">
        <v>45966</v>
      </c>
      <c r="C71" s="3" t="str">
        <f t="shared" si="1"/>
        <v>Nov</v>
      </c>
      <c r="D71">
        <v>1</v>
      </c>
      <c r="E71" s="7">
        <f>IFERROR(VLOOKUP(A71, PriceTable!$A$1:$B$32, 2, FALSE) * D71, 0)</f>
        <v>35000</v>
      </c>
    </row>
    <row r="72" spans="1:5" x14ac:dyDescent="0.3">
      <c r="A72" s="2" t="s">
        <v>22</v>
      </c>
      <c r="B72" s="3">
        <v>45966</v>
      </c>
      <c r="C72" s="3" t="str">
        <f t="shared" si="1"/>
        <v>Nov</v>
      </c>
      <c r="D72">
        <v>1</v>
      </c>
      <c r="E72" s="7">
        <f>IFERROR(VLOOKUP(A72, PriceTable!$A$1:$B$32, 2, FALSE) * D72, 0)</f>
        <v>20000</v>
      </c>
    </row>
    <row r="73" spans="1:5" x14ac:dyDescent="0.3">
      <c r="A73" s="2" t="s">
        <v>9</v>
      </c>
      <c r="B73" s="3">
        <v>45966</v>
      </c>
      <c r="C73" s="3" t="str">
        <f t="shared" si="1"/>
        <v>Nov</v>
      </c>
      <c r="D73">
        <v>1</v>
      </c>
      <c r="E73" s="7">
        <f>IFERROR(VLOOKUP(A73, PriceTable!$A$1:$B$32, 2, FALSE) * D73, 0)</f>
        <v>60000</v>
      </c>
    </row>
    <row r="74" spans="1:5" x14ac:dyDescent="0.3">
      <c r="A74" s="2" t="s">
        <v>36</v>
      </c>
      <c r="B74" s="3">
        <v>45966</v>
      </c>
      <c r="C74" s="3" t="str">
        <f t="shared" si="1"/>
        <v>Nov</v>
      </c>
      <c r="D74">
        <v>1</v>
      </c>
      <c r="E74" s="7">
        <f>IFERROR(VLOOKUP(A74, PriceTable!$A$1:$B$32, 2, FALSE) * D74, 0)</f>
        <v>25000</v>
      </c>
    </row>
    <row r="75" spans="1:5" x14ac:dyDescent="0.3">
      <c r="A75" s="2" t="s">
        <v>27</v>
      </c>
      <c r="B75" s="3">
        <v>45966</v>
      </c>
      <c r="C75" s="3" t="str">
        <f t="shared" si="1"/>
        <v>Nov</v>
      </c>
      <c r="D75">
        <v>1</v>
      </c>
      <c r="E75" s="7">
        <f>IFERROR(VLOOKUP(A75, PriceTable!$A$1:$B$32, 2, FALSE) * D75, 0)</f>
        <v>10000</v>
      </c>
    </row>
    <row r="76" spans="1:5" x14ac:dyDescent="0.3">
      <c r="A76" s="2" t="s">
        <v>20</v>
      </c>
      <c r="B76" s="3">
        <v>45966</v>
      </c>
      <c r="C76" s="3" t="str">
        <f t="shared" si="1"/>
        <v>Nov</v>
      </c>
      <c r="D76">
        <v>1</v>
      </c>
      <c r="E76" s="7">
        <f>IFERROR(VLOOKUP(A76, PriceTable!$A$1:$B$32, 2, FALSE) * D76, 0)</f>
        <v>35000</v>
      </c>
    </row>
    <row r="77" spans="1:5" x14ac:dyDescent="0.3">
      <c r="A77" s="2" t="s">
        <v>23</v>
      </c>
      <c r="B77" s="3">
        <v>45966</v>
      </c>
      <c r="C77" s="3" t="str">
        <f t="shared" si="1"/>
        <v>Nov</v>
      </c>
      <c r="D77">
        <v>2</v>
      </c>
      <c r="E77" s="7">
        <f>IFERROR(VLOOKUP(A77, PriceTable!$A$1:$B$32, 2, FALSE) * D77, 0)</f>
        <v>20000</v>
      </c>
    </row>
    <row r="78" spans="1:5" ht="28.8" x14ac:dyDescent="0.3">
      <c r="A78" s="2" t="s">
        <v>5</v>
      </c>
      <c r="B78" s="3">
        <v>45967</v>
      </c>
      <c r="C78" s="3" t="str">
        <f t="shared" si="1"/>
        <v>Nov</v>
      </c>
      <c r="D78">
        <v>1</v>
      </c>
      <c r="E78" s="7">
        <f>IFERROR(VLOOKUP(A78, PriceTable!$A$1:$B$32, 2, FALSE) * D78, 0)</f>
        <v>10000</v>
      </c>
    </row>
    <row r="79" spans="1:5" x14ac:dyDescent="0.3">
      <c r="A79" s="2" t="s">
        <v>25</v>
      </c>
      <c r="B79" s="3">
        <v>45967</v>
      </c>
      <c r="C79" s="3" t="str">
        <f t="shared" si="1"/>
        <v>Nov</v>
      </c>
      <c r="D79">
        <v>1</v>
      </c>
      <c r="E79" s="7">
        <f>IFERROR(VLOOKUP(A79, PriceTable!$A$1:$B$32, 2, FALSE) * D79, 0)</f>
        <v>35000</v>
      </c>
    </row>
    <row r="80" spans="1:5" x14ac:dyDescent="0.3">
      <c r="A80" s="2" t="s">
        <v>30</v>
      </c>
      <c r="B80" s="3">
        <v>45968</v>
      </c>
      <c r="C80" s="3" t="str">
        <f t="shared" si="1"/>
        <v>Nov</v>
      </c>
      <c r="D80">
        <v>1</v>
      </c>
      <c r="E80" s="7">
        <f>IFERROR(VLOOKUP(A80, PriceTable!$A$1:$B$32, 2, FALSE) * D80, 0)</f>
        <v>10000</v>
      </c>
    </row>
    <row r="81" spans="1:5" ht="28.8" x14ac:dyDescent="0.3">
      <c r="A81" s="2" t="s">
        <v>5</v>
      </c>
      <c r="B81" s="3">
        <v>45968</v>
      </c>
      <c r="C81" s="3" t="str">
        <f t="shared" si="1"/>
        <v>Nov</v>
      </c>
      <c r="D81">
        <v>1</v>
      </c>
      <c r="E81" s="7">
        <f>IFERROR(VLOOKUP(A81, PriceTable!$A$1:$B$32, 2, FALSE) * D81, 0)</f>
        <v>10000</v>
      </c>
    </row>
    <row r="82" spans="1:5" x14ac:dyDescent="0.3">
      <c r="A82" t="s">
        <v>9</v>
      </c>
      <c r="B82" s="3">
        <v>45968</v>
      </c>
      <c r="C82" s="3" t="str">
        <f t="shared" si="1"/>
        <v>Nov</v>
      </c>
      <c r="D82">
        <v>1</v>
      </c>
      <c r="E82" s="7">
        <f>IFERROR(VLOOKUP(A82, PriceTable!$A$1:$B$32, 2, FALSE) * D82, 0)</f>
        <v>60000</v>
      </c>
    </row>
    <row r="83" spans="1:5" ht="28.8" x14ac:dyDescent="0.3">
      <c r="A83" s="2" t="s">
        <v>5</v>
      </c>
      <c r="B83" s="3">
        <v>45969</v>
      </c>
      <c r="C83" s="3" t="str">
        <f t="shared" si="1"/>
        <v>Nov</v>
      </c>
      <c r="D83">
        <v>1</v>
      </c>
      <c r="E83" s="7">
        <f>IFERROR(VLOOKUP(A83, PriceTable!$A$1:$B$32, 2, FALSE) * D83, 0)</f>
        <v>10000</v>
      </c>
    </row>
    <row r="84" spans="1:5" x14ac:dyDescent="0.3">
      <c r="A84" s="2" t="s">
        <v>30</v>
      </c>
      <c r="B84" s="3">
        <v>45969</v>
      </c>
      <c r="C84" s="3" t="str">
        <f t="shared" si="1"/>
        <v>Nov</v>
      </c>
      <c r="D84">
        <v>1</v>
      </c>
      <c r="E84" s="7">
        <f>IFERROR(VLOOKUP(A84, PriceTable!$A$1:$B$32, 2, FALSE) * D84, 0)</f>
        <v>10000</v>
      </c>
    </row>
    <row r="85" spans="1:5" x14ac:dyDescent="0.3">
      <c r="A85" s="2" t="s">
        <v>27</v>
      </c>
      <c r="B85" s="3">
        <v>45971</v>
      </c>
      <c r="C85" s="3" t="str">
        <f t="shared" si="1"/>
        <v>Nov</v>
      </c>
      <c r="D85">
        <v>1</v>
      </c>
      <c r="E85" s="7">
        <f>IFERROR(VLOOKUP(A85, PriceTable!$A$1:$B$32, 2, FALSE) * D85, 0)</f>
        <v>10000</v>
      </c>
    </row>
    <row r="86" spans="1:5" x14ac:dyDescent="0.3">
      <c r="A86" s="2" t="s">
        <v>2</v>
      </c>
      <c r="B86" s="3">
        <v>45971</v>
      </c>
      <c r="C86" s="3" t="str">
        <f t="shared" si="1"/>
        <v>Nov</v>
      </c>
      <c r="D86">
        <v>1</v>
      </c>
      <c r="E86" s="7">
        <f>IFERROR(VLOOKUP(A86, PriceTable!$A$1:$B$32, 2, FALSE) * D86, 0)</f>
        <v>10000</v>
      </c>
    </row>
    <row r="87" spans="1:5" x14ac:dyDescent="0.3">
      <c r="A87" s="2" t="s">
        <v>33</v>
      </c>
      <c r="B87" s="3">
        <v>45971</v>
      </c>
      <c r="C87" s="3" t="str">
        <f t="shared" si="1"/>
        <v>Nov</v>
      </c>
      <c r="D87">
        <v>1</v>
      </c>
      <c r="E87" s="7">
        <f>IFERROR(VLOOKUP(A87, PriceTable!$A$1:$B$32, 2, FALSE) * D87, 0)</f>
        <v>55000</v>
      </c>
    </row>
    <row r="88" spans="1:5" ht="28.8" x14ac:dyDescent="0.3">
      <c r="A88" s="2" t="s">
        <v>5</v>
      </c>
      <c r="B88" s="3">
        <v>45971</v>
      </c>
      <c r="C88" s="3" t="str">
        <f t="shared" si="1"/>
        <v>Nov</v>
      </c>
      <c r="D88">
        <v>1</v>
      </c>
      <c r="E88" s="7">
        <f>IFERROR(VLOOKUP(A88, PriceTable!$A$1:$B$32, 2, FALSE) * D88, 0)</f>
        <v>10000</v>
      </c>
    </row>
    <row r="89" spans="1:5" x14ac:dyDescent="0.3">
      <c r="A89" s="2" t="s">
        <v>8</v>
      </c>
      <c r="B89" s="3">
        <v>45972</v>
      </c>
      <c r="C89" s="3" t="str">
        <f t="shared" si="1"/>
        <v>Nov</v>
      </c>
      <c r="D89">
        <v>1</v>
      </c>
      <c r="E89" s="7">
        <f>IFERROR(VLOOKUP(A89, PriceTable!$A$1:$B$32, 2, FALSE) * D89, 0)</f>
        <v>20000</v>
      </c>
    </row>
    <row r="90" spans="1:5" x14ac:dyDescent="0.3">
      <c r="A90" s="2" t="s">
        <v>30</v>
      </c>
      <c r="B90" s="3">
        <v>45972</v>
      </c>
      <c r="C90" s="3" t="str">
        <f t="shared" si="1"/>
        <v>Nov</v>
      </c>
      <c r="D90">
        <v>1</v>
      </c>
      <c r="E90" s="7">
        <f>IFERROR(VLOOKUP(A90, PriceTable!$A$1:$B$32, 2, FALSE) * D90, 0)</f>
        <v>10000</v>
      </c>
    </row>
    <row r="91" spans="1:5" x14ac:dyDescent="0.3">
      <c r="A91" s="2" t="s">
        <v>8</v>
      </c>
      <c r="B91" s="3">
        <v>45973</v>
      </c>
      <c r="C91" s="3" t="str">
        <f t="shared" si="1"/>
        <v>Nov</v>
      </c>
      <c r="D91">
        <v>1</v>
      </c>
      <c r="E91" s="7">
        <f>IFERROR(VLOOKUP(A91, PriceTable!$A$1:$B$32, 2, FALSE) * D91, 0)</f>
        <v>20000</v>
      </c>
    </row>
    <row r="92" spans="1:5" x14ac:dyDescent="0.3">
      <c r="A92" s="2" t="s">
        <v>35</v>
      </c>
      <c r="B92" s="3">
        <v>45973</v>
      </c>
      <c r="C92" s="3" t="str">
        <f t="shared" si="1"/>
        <v>Nov</v>
      </c>
      <c r="D92">
        <v>1</v>
      </c>
      <c r="E92" s="7">
        <f>IFERROR(VLOOKUP(A92, PriceTable!$A$1:$B$32, 2, FALSE) * D92, 0)</f>
        <v>12000</v>
      </c>
    </row>
    <row r="93" spans="1:5" ht="28.8" x14ac:dyDescent="0.3">
      <c r="A93" s="2" t="s">
        <v>5</v>
      </c>
      <c r="B93" s="3">
        <v>45973</v>
      </c>
      <c r="C93" s="3" t="str">
        <f t="shared" si="1"/>
        <v>Nov</v>
      </c>
      <c r="D93">
        <v>1</v>
      </c>
      <c r="E93" s="7">
        <f>IFERROR(VLOOKUP(A93, PriceTable!$A$1:$B$32, 2, FALSE) * D93, 0)</f>
        <v>10000</v>
      </c>
    </row>
    <row r="94" spans="1:5" x14ac:dyDescent="0.3">
      <c r="A94" s="2" t="s">
        <v>26</v>
      </c>
      <c r="B94" s="3">
        <v>45973</v>
      </c>
      <c r="C94" s="3" t="str">
        <f t="shared" si="1"/>
        <v>Nov</v>
      </c>
      <c r="D94">
        <v>1</v>
      </c>
      <c r="E94" s="7">
        <f>IFERROR(VLOOKUP(A94, PriceTable!$A$1:$B$32, 2, FALSE) * D94, 0)</f>
        <v>25000</v>
      </c>
    </row>
    <row r="95" spans="1:5" x14ac:dyDescent="0.3">
      <c r="A95" s="2" t="s">
        <v>8</v>
      </c>
      <c r="B95" s="3">
        <v>45974</v>
      </c>
      <c r="C95" s="3" t="str">
        <f t="shared" si="1"/>
        <v>Nov</v>
      </c>
      <c r="D95">
        <v>2</v>
      </c>
      <c r="E95" s="7">
        <f>IFERROR(VLOOKUP(A95, PriceTable!$A$1:$B$32, 2, FALSE) * D95, 0)</f>
        <v>40000</v>
      </c>
    </row>
    <row r="96" spans="1:5" x14ac:dyDescent="0.3">
      <c r="A96" s="2" t="s">
        <v>35</v>
      </c>
      <c r="B96" s="3">
        <v>45974</v>
      </c>
      <c r="C96" s="3" t="str">
        <f t="shared" si="1"/>
        <v>Nov</v>
      </c>
      <c r="D96">
        <v>3</v>
      </c>
      <c r="E96" s="7">
        <f>IFERROR(VLOOKUP(A96, PriceTable!$A$1:$B$32, 2, FALSE) * D96, 0)</f>
        <v>36000</v>
      </c>
    </row>
    <row r="97" spans="1:5" x14ac:dyDescent="0.3">
      <c r="A97" s="2" t="s">
        <v>8</v>
      </c>
      <c r="B97" s="3">
        <v>45975</v>
      </c>
      <c r="C97" s="3" t="str">
        <f t="shared" si="1"/>
        <v>Nov</v>
      </c>
      <c r="D97">
        <v>1</v>
      </c>
      <c r="E97" s="7">
        <f>IFERROR(VLOOKUP(A97, PriceTable!$A$1:$B$32, 2, FALSE) * D97, 0)</f>
        <v>20000</v>
      </c>
    </row>
    <row r="98" spans="1:5" x14ac:dyDescent="0.3">
      <c r="A98" s="2" t="s">
        <v>2</v>
      </c>
      <c r="B98" s="3">
        <v>45975</v>
      </c>
      <c r="C98" s="3" t="str">
        <f t="shared" si="1"/>
        <v>Nov</v>
      </c>
      <c r="D98">
        <v>1</v>
      </c>
      <c r="E98" s="7">
        <f>IFERROR(VLOOKUP(A98, PriceTable!$A$1:$B$32, 2, FALSE) * D98, 0)</f>
        <v>10000</v>
      </c>
    </row>
    <row r="99" spans="1:5" ht="28.8" x14ac:dyDescent="0.3">
      <c r="A99" s="2" t="s">
        <v>5</v>
      </c>
      <c r="B99" s="3">
        <v>45975</v>
      </c>
      <c r="C99" s="3" t="str">
        <f t="shared" si="1"/>
        <v>Nov</v>
      </c>
      <c r="D99">
        <v>1</v>
      </c>
      <c r="E99" s="7">
        <f>IFERROR(VLOOKUP(A99, PriceTable!$A$1:$B$32, 2, FALSE) * D99, 0)</f>
        <v>10000</v>
      </c>
    </row>
    <row r="100" spans="1:5" x14ac:dyDescent="0.3">
      <c r="A100" s="2" t="s">
        <v>35</v>
      </c>
      <c r="B100" s="3">
        <v>45976</v>
      </c>
      <c r="C100" s="3" t="str">
        <f t="shared" si="1"/>
        <v>Nov</v>
      </c>
      <c r="D100">
        <v>1</v>
      </c>
      <c r="E100" s="7">
        <f>IFERROR(VLOOKUP(A100, PriceTable!$A$1:$B$32, 2, FALSE) * D100, 0)</f>
        <v>12000</v>
      </c>
    </row>
    <row r="101" spans="1:5" x14ac:dyDescent="0.3">
      <c r="A101" s="2" t="s">
        <v>2</v>
      </c>
      <c r="B101" s="3">
        <v>45978</v>
      </c>
      <c r="C101" s="3" t="str">
        <f t="shared" si="1"/>
        <v>Nov</v>
      </c>
      <c r="D101">
        <v>4</v>
      </c>
      <c r="E101" s="7">
        <f>IFERROR(VLOOKUP(A101, PriceTable!$A$1:$B$32, 2, FALSE) * D101, 0)</f>
        <v>40000</v>
      </c>
    </row>
    <row r="102" spans="1:5" x14ac:dyDescent="0.3">
      <c r="A102" s="2" t="s">
        <v>8</v>
      </c>
      <c r="B102" s="3">
        <v>45979</v>
      </c>
      <c r="C102" s="3" t="str">
        <f t="shared" si="1"/>
        <v>Nov</v>
      </c>
      <c r="D102">
        <v>2</v>
      </c>
      <c r="E102" s="7">
        <f>IFERROR(VLOOKUP(A102, PriceTable!$A$1:$B$32, 2, FALSE) * D102, 0)</f>
        <v>40000</v>
      </c>
    </row>
    <row r="103" spans="1:5" x14ac:dyDescent="0.3">
      <c r="A103" s="2" t="s">
        <v>30</v>
      </c>
      <c r="B103" s="3">
        <v>45979</v>
      </c>
      <c r="C103" s="3" t="str">
        <f t="shared" si="1"/>
        <v>Nov</v>
      </c>
      <c r="D103">
        <v>4</v>
      </c>
      <c r="E103" s="7">
        <f>IFERROR(VLOOKUP(A103, PriceTable!$A$1:$B$32, 2, FALSE) * D103, 0)</f>
        <v>40000</v>
      </c>
    </row>
    <row r="104" spans="1:5" ht="28.8" x14ac:dyDescent="0.3">
      <c r="A104" s="2" t="s">
        <v>5</v>
      </c>
      <c r="B104" s="3">
        <v>45979</v>
      </c>
      <c r="C104" s="3" t="str">
        <f t="shared" si="1"/>
        <v>Nov</v>
      </c>
      <c r="D104">
        <v>3</v>
      </c>
      <c r="E104" s="7">
        <f>IFERROR(VLOOKUP(A104, PriceTable!$A$1:$B$32, 2, FALSE) * D104, 0)</f>
        <v>30000</v>
      </c>
    </row>
    <row r="105" spans="1:5" x14ac:dyDescent="0.3">
      <c r="A105" s="2" t="s">
        <v>35</v>
      </c>
      <c r="B105" s="3">
        <v>45979</v>
      </c>
      <c r="C105" s="3" t="str">
        <f t="shared" si="1"/>
        <v>Nov</v>
      </c>
      <c r="D105">
        <v>3</v>
      </c>
      <c r="E105" s="7">
        <f>IFERROR(VLOOKUP(A105, PriceTable!$A$1:$B$32, 2, FALSE) * D105, 0)</f>
        <v>36000</v>
      </c>
    </row>
    <row r="106" spans="1:5" x14ac:dyDescent="0.3">
      <c r="A106" s="2" t="s">
        <v>38</v>
      </c>
      <c r="B106" s="3">
        <v>45979</v>
      </c>
      <c r="C106" s="3" t="str">
        <f t="shared" si="1"/>
        <v>Nov</v>
      </c>
      <c r="D106">
        <v>1</v>
      </c>
      <c r="E106" s="7">
        <f>IFERROR(VLOOKUP(A106, PriceTable!$A$1:$B$32, 2, FALSE) * D106, 0)</f>
        <v>7000</v>
      </c>
    </row>
    <row r="107" spans="1:5" x14ac:dyDescent="0.3">
      <c r="A107" s="2" t="s">
        <v>27</v>
      </c>
      <c r="B107" s="3">
        <v>45979</v>
      </c>
      <c r="C107" s="3" t="str">
        <f t="shared" si="1"/>
        <v>Nov</v>
      </c>
      <c r="D107">
        <v>1</v>
      </c>
      <c r="E107" s="7">
        <f>IFERROR(VLOOKUP(A107, PriceTable!$A$1:$B$32, 2, FALSE) * D107, 0)</f>
        <v>10000</v>
      </c>
    </row>
    <row r="108" spans="1:5" x14ac:dyDescent="0.3">
      <c r="A108" s="2" t="s">
        <v>34</v>
      </c>
      <c r="B108" s="3">
        <v>45979</v>
      </c>
      <c r="C108" s="3" t="str">
        <f t="shared" si="1"/>
        <v>Nov</v>
      </c>
      <c r="D108">
        <v>1</v>
      </c>
      <c r="E108" s="7">
        <f>IFERROR(VLOOKUP(A108, PriceTable!$A$1:$B$32, 2, FALSE) * D108, 0)</f>
        <v>25000</v>
      </c>
    </row>
    <row r="109" spans="1:5" x14ac:dyDescent="0.3">
      <c r="A109" s="2" t="s">
        <v>2</v>
      </c>
      <c r="B109" s="3">
        <v>45979</v>
      </c>
      <c r="C109" s="3" t="str">
        <f t="shared" si="1"/>
        <v>Nov</v>
      </c>
      <c r="D109">
        <v>1</v>
      </c>
      <c r="E109" s="7">
        <f>IFERROR(VLOOKUP(A109, PriceTable!$A$1:$B$32, 2, FALSE) * D109, 0)</f>
        <v>10000</v>
      </c>
    </row>
    <row r="110" spans="1:5" x14ac:dyDescent="0.3">
      <c r="A110" s="2" t="s">
        <v>30</v>
      </c>
      <c r="B110" s="3">
        <v>45980</v>
      </c>
      <c r="C110" s="3" t="str">
        <f t="shared" si="1"/>
        <v>Nov</v>
      </c>
      <c r="D110">
        <v>1</v>
      </c>
      <c r="E110" s="7">
        <f>IFERROR(VLOOKUP(A110, PriceTable!$A$1:$B$32, 2, FALSE) * D110, 0)</f>
        <v>10000</v>
      </c>
    </row>
    <row r="111" spans="1:5" x14ac:dyDescent="0.3">
      <c r="A111" s="2" t="s">
        <v>35</v>
      </c>
      <c r="B111" s="3">
        <v>45980</v>
      </c>
      <c r="C111" s="3" t="str">
        <f t="shared" si="1"/>
        <v>Nov</v>
      </c>
      <c r="D111">
        <v>1</v>
      </c>
      <c r="E111" s="7">
        <f>IFERROR(VLOOKUP(A111, PriceTable!$A$1:$B$32, 2, FALSE) * D111, 0)</f>
        <v>12000</v>
      </c>
    </row>
    <row r="112" spans="1:5" x14ac:dyDescent="0.3">
      <c r="A112" s="2" t="s">
        <v>2</v>
      </c>
      <c r="B112" s="3">
        <v>45981</v>
      </c>
      <c r="C112" s="3" t="str">
        <f t="shared" si="1"/>
        <v>Nov</v>
      </c>
      <c r="D112">
        <v>2</v>
      </c>
      <c r="E112" s="7">
        <f>IFERROR(VLOOKUP(A112, PriceTable!$A$1:$B$32, 2, FALSE) * D112, 0)</f>
        <v>20000</v>
      </c>
    </row>
    <row r="113" spans="1:5" ht="28.8" x14ac:dyDescent="0.3">
      <c r="A113" s="2" t="s">
        <v>5</v>
      </c>
      <c r="B113" s="3">
        <v>45981</v>
      </c>
      <c r="C113" s="3" t="str">
        <f t="shared" si="1"/>
        <v>Nov</v>
      </c>
      <c r="D113">
        <v>1</v>
      </c>
      <c r="E113" s="7">
        <f>IFERROR(VLOOKUP(A113, PriceTable!$A$1:$B$32, 2, FALSE) * D113, 0)</f>
        <v>10000</v>
      </c>
    </row>
    <row r="114" spans="1:5" x14ac:dyDescent="0.3">
      <c r="A114" s="2" t="s">
        <v>14</v>
      </c>
      <c r="B114" s="3">
        <v>45981</v>
      </c>
      <c r="C114" s="3" t="str">
        <f t="shared" si="1"/>
        <v>Nov</v>
      </c>
      <c r="D114">
        <v>1</v>
      </c>
      <c r="E114" s="7">
        <f>IFERROR(VLOOKUP(A114, PriceTable!$A$1:$B$32, 2, FALSE) * D114, 0)</f>
        <v>15000</v>
      </c>
    </row>
    <row r="115" spans="1:5" x14ac:dyDescent="0.3">
      <c r="A115" s="2" t="s">
        <v>39</v>
      </c>
      <c r="B115" s="3">
        <v>45981</v>
      </c>
      <c r="C115" s="3" t="str">
        <f t="shared" si="1"/>
        <v>Nov</v>
      </c>
      <c r="D115">
        <v>1</v>
      </c>
      <c r="E115" s="7">
        <f>IFERROR(VLOOKUP(A115, PriceTable!$A$1:$B$32, 2, FALSE) * D115, 0)</f>
        <v>10000</v>
      </c>
    </row>
    <row r="116" spans="1:5" x14ac:dyDescent="0.3">
      <c r="A116" s="2" t="s">
        <v>2</v>
      </c>
      <c r="B116" s="3">
        <v>45981</v>
      </c>
      <c r="C116" s="3" t="str">
        <f t="shared" si="1"/>
        <v>Nov</v>
      </c>
      <c r="D116">
        <v>1</v>
      </c>
      <c r="E116" s="7">
        <f>IFERROR(VLOOKUP(A116, PriceTable!$A$1:$B$32, 2, FALSE) * D116, 0)</f>
        <v>10000</v>
      </c>
    </row>
    <row r="117" spans="1:5" x14ac:dyDescent="0.3">
      <c r="A117" s="2" t="s">
        <v>8</v>
      </c>
      <c r="B117" s="3">
        <v>45981</v>
      </c>
      <c r="C117" s="3" t="str">
        <f t="shared" si="1"/>
        <v>Nov</v>
      </c>
      <c r="D117">
        <v>1</v>
      </c>
      <c r="E117" s="7">
        <f>IFERROR(VLOOKUP(A117, PriceTable!$A$1:$B$32, 2, FALSE) * D117, 0)</f>
        <v>20000</v>
      </c>
    </row>
    <row r="118" spans="1:5" x14ac:dyDescent="0.3">
      <c r="A118" s="2" t="s">
        <v>2</v>
      </c>
      <c r="B118" s="3">
        <v>45982</v>
      </c>
      <c r="C118" s="3" t="str">
        <f t="shared" si="1"/>
        <v>Nov</v>
      </c>
      <c r="D118">
        <v>1</v>
      </c>
      <c r="E118" s="7">
        <f>IFERROR(VLOOKUP(A118, PriceTable!$A$1:$B$32, 2, FALSE) * D118, 0)</f>
        <v>10000</v>
      </c>
    </row>
    <row r="119" spans="1:5" ht="28.8" x14ac:dyDescent="0.3">
      <c r="A119" s="2" t="s">
        <v>5</v>
      </c>
      <c r="B119" s="3">
        <v>45988</v>
      </c>
      <c r="C119" s="3" t="str">
        <f t="shared" si="1"/>
        <v>Nov</v>
      </c>
      <c r="D119">
        <v>4</v>
      </c>
      <c r="E119" s="7">
        <f>IFERROR(VLOOKUP(A119, PriceTable!$A$1:$B$32, 2, FALSE) * D119, 0)</f>
        <v>40000</v>
      </c>
    </row>
    <row r="120" spans="1:5" x14ac:dyDescent="0.3">
      <c r="A120" s="2" t="s">
        <v>8</v>
      </c>
      <c r="B120" s="3">
        <v>45988</v>
      </c>
      <c r="C120" s="3" t="str">
        <f t="shared" si="1"/>
        <v>Nov</v>
      </c>
      <c r="D120">
        <v>2</v>
      </c>
      <c r="E120" s="7">
        <f>IFERROR(VLOOKUP(A120, PriceTable!$A$1:$B$32, 2, FALSE) * D120, 0)</f>
        <v>40000</v>
      </c>
    </row>
    <row r="121" spans="1:5" x14ac:dyDescent="0.3">
      <c r="A121" s="2" t="s">
        <v>8</v>
      </c>
      <c r="B121" s="3">
        <v>45988</v>
      </c>
      <c r="C121" s="3" t="str">
        <f t="shared" si="1"/>
        <v>Nov</v>
      </c>
      <c r="D121">
        <v>1</v>
      </c>
      <c r="E121" s="7">
        <f>IFERROR(VLOOKUP(A121, PriceTable!$A$1:$B$32, 2, FALSE) * D121, 0)</f>
        <v>20000</v>
      </c>
    </row>
    <row r="122" spans="1:5" x14ac:dyDescent="0.3">
      <c r="A122" s="2" t="s">
        <v>8</v>
      </c>
      <c r="B122" s="3">
        <v>45992</v>
      </c>
      <c r="C122" s="3" t="str">
        <f t="shared" si="1"/>
        <v>Dec</v>
      </c>
      <c r="D122">
        <v>2</v>
      </c>
      <c r="E122" s="7">
        <f>IFERROR(VLOOKUP(A122, PriceTable!$A$1:$B$32, 2, FALSE) * D122, 0)</f>
        <v>40000</v>
      </c>
    </row>
    <row r="123" spans="1:5" x14ac:dyDescent="0.3">
      <c r="A123" s="2" t="s">
        <v>35</v>
      </c>
      <c r="B123" s="3">
        <v>45992</v>
      </c>
      <c r="C123" s="3" t="str">
        <f t="shared" si="1"/>
        <v>Dec</v>
      </c>
      <c r="D123">
        <v>5</v>
      </c>
      <c r="E123" s="7">
        <f>IFERROR(VLOOKUP(A123, PriceTable!$A$1:$B$32, 2, FALSE) * D123, 0)</f>
        <v>60000</v>
      </c>
    </row>
    <row r="124" spans="1:5" x14ac:dyDescent="0.3">
      <c r="A124" s="2" t="s">
        <v>13</v>
      </c>
      <c r="B124" s="3">
        <v>45992</v>
      </c>
      <c r="C124" s="3" t="str">
        <f t="shared" si="1"/>
        <v>Dec</v>
      </c>
      <c r="D124">
        <v>3</v>
      </c>
      <c r="E124" s="7">
        <f>IFERROR(VLOOKUP(A124, PriceTable!$A$1:$B$32, 2, FALSE) * D124, 0)</f>
        <v>75000</v>
      </c>
    </row>
    <row r="125" spans="1:5" x14ac:dyDescent="0.3">
      <c r="A125" s="2" t="s">
        <v>4</v>
      </c>
      <c r="B125" s="3">
        <v>45992</v>
      </c>
      <c r="C125" s="3" t="str">
        <f t="shared" si="1"/>
        <v>Dec</v>
      </c>
      <c r="D125">
        <v>2</v>
      </c>
      <c r="E125" s="7">
        <f>IFERROR(VLOOKUP(A125, PriceTable!$A$1:$B$32, 2, FALSE) * D125, 0)</f>
        <v>50000</v>
      </c>
    </row>
    <row r="126" spans="1:5" x14ac:dyDescent="0.3">
      <c r="A126" s="2" t="s">
        <v>11</v>
      </c>
      <c r="B126" s="3">
        <v>45992</v>
      </c>
      <c r="C126" s="3" t="str">
        <f t="shared" si="1"/>
        <v>Dec</v>
      </c>
      <c r="D126">
        <v>2</v>
      </c>
      <c r="E126" s="7">
        <f>IFERROR(VLOOKUP(A126, PriceTable!$A$1:$B$32, 2, FALSE) * D126, 0)</f>
        <v>20000</v>
      </c>
    </row>
    <row r="127" spans="1:5" x14ac:dyDescent="0.3">
      <c r="A127" s="2" t="s">
        <v>26</v>
      </c>
      <c r="B127" s="3">
        <v>45992</v>
      </c>
      <c r="C127" s="3" t="str">
        <f t="shared" si="1"/>
        <v>Dec</v>
      </c>
      <c r="D127">
        <v>1</v>
      </c>
      <c r="E127" s="7">
        <f>IFERROR(VLOOKUP(A127, PriceTable!$A$1:$B$32, 2, FALSE) * D127, 0)</f>
        <v>25000</v>
      </c>
    </row>
    <row r="128" spans="1:5" x14ac:dyDescent="0.3">
      <c r="A128" s="2" t="s">
        <v>45</v>
      </c>
      <c r="B128" s="3">
        <v>45992</v>
      </c>
      <c r="C128" s="3" t="str">
        <f t="shared" si="1"/>
        <v>Dec</v>
      </c>
      <c r="D128">
        <v>1</v>
      </c>
      <c r="E128" s="7">
        <f>IFERROR(VLOOKUP(A128, PriceTable!$A$1:$B$32, 2, FALSE) * D128, 0)</f>
        <v>20000</v>
      </c>
    </row>
    <row r="129" spans="1:5" x14ac:dyDescent="0.3">
      <c r="A129" s="2" t="s">
        <v>2</v>
      </c>
      <c r="B129" s="3">
        <v>45992</v>
      </c>
      <c r="C129" s="3" t="str">
        <f t="shared" si="1"/>
        <v>Dec</v>
      </c>
      <c r="D129">
        <v>2</v>
      </c>
      <c r="E129" s="7">
        <f>IFERROR(VLOOKUP(A129, PriceTable!$A$1:$B$32, 2, FALSE) * D129, 0)</f>
        <v>20000</v>
      </c>
    </row>
    <row r="130" spans="1:5" x14ac:dyDescent="0.3">
      <c r="A130" s="2" t="s">
        <v>8</v>
      </c>
      <c r="B130" s="3">
        <v>45993</v>
      </c>
      <c r="C130" s="3" t="str">
        <f t="shared" si="1"/>
        <v>Dec</v>
      </c>
      <c r="D130">
        <v>1</v>
      </c>
      <c r="E130" s="7">
        <f>IFERROR(VLOOKUP(A130, PriceTable!$A$1:$B$32, 2, FALSE) * D130, 0)</f>
        <v>20000</v>
      </c>
    </row>
    <row r="131" spans="1:5" x14ac:dyDescent="0.3">
      <c r="A131" s="2" t="s">
        <v>35</v>
      </c>
      <c r="B131" s="3">
        <v>45993</v>
      </c>
      <c r="C131" s="3" t="str">
        <f t="shared" si="1"/>
        <v>Dec</v>
      </c>
      <c r="D131">
        <v>4</v>
      </c>
      <c r="E131" s="7">
        <f>IFERROR(VLOOKUP(A131, PriceTable!$A$1:$B$32, 2, FALSE) * D131, 0)</f>
        <v>48000</v>
      </c>
    </row>
    <row r="132" spans="1:5" x14ac:dyDescent="0.3">
      <c r="A132" s="2" t="s">
        <v>3</v>
      </c>
      <c r="B132" s="3">
        <v>45993</v>
      </c>
      <c r="C132" s="3" t="str">
        <f t="shared" si="1"/>
        <v>Dec</v>
      </c>
      <c r="D132">
        <v>1</v>
      </c>
      <c r="E132" s="7">
        <f>IFERROR(VLOOKUP(A132, PriceTable!$A$1:$B$32, 2, FALSE) * D132, 0)</f>
        <v>35000</v>
      </c>
    </row>
    <row r="133" spans="1:5" x14ac:dyDescent="0.3">
      <c r="A133" s="2" t="s">
        <v>2</v>
      </c>
      <c r="B133" s="3">
        <v>45993</v>
      </c>
      <c r="C133" s="3" t="str">
        <f t="shared" si="1"/>
        <v>Dec</v>
      </c>
      <c r="D133">
        <v>3</v>
      </c>
      <c r="E133" s="7">
        <f>IFERROR(VLOOKUP(A133, PriceTable!$A$1:$B$32, 2, FALSE) * D133, 0)</f>
        <v>30000</v>
      </c>
    </row>
    <row r="134" spans="1:5" x14ac:dyDescent="0.3">
      <c r="A134" s="2" t="s">
        <v>27</v>
      </c>
      <c r="B134" s="3">
        <v>45993</v>
      </c>
      <c r="C134" s="3" t="str">
        <f t="shared" si="1"/>
        <v>Dec</v>
      </c>
      <c r="D134">
        <v>1</v>
      </c>
      <c r="E134" s="7">
        <f>IFERROR(VLOOKUP(A134, PriceTable!$A$1:$B$32, 2, FALSE) * D134, 0)</f>
        <v>10000</v>
      </c>
    </row>
    <row r="135" spans="1:5" ht="28.8" x14ac:dyDescent="0.3">
      <c r="A135" s="2" t="s">
        <v>5</v>
      </c>
      <c r="B135" s="3">
        <v>45993</v>
      </c>
      <c r="C135" s="3" t="str">
        <f t="shared" si="1"/>
        <v>Dec</v>
      </c>
      <c r="D135">
        <v>1</v>
      </c>
      <c r="E135" s="7">
        <f>IFERROR(VLOOKUP(A135, PriceTable!$A$1:$B$32, 2, FALSE) * D135, 0)</f>
        <v>10000</v>
      </c>
    </row>
    <row r="136" spans="1:5" x14ac:dyDescent="0.3">
      <c r="A136" s="2" t="s">
        <v>30</v>
      </c>
      <c r="B136" s="3">
        <v>45993</v>
      </c>
      <c r="C136" s="3" t="str">
        <f t="shared" si="1"/>
        <v>Dec</v>
      </c>
      <c r="D136">
        <v>1</v>
      </c>
      <c r="E136" s="7">
        <f>IFERROR(VLOOKUP(A136, PriceTable!$A$1:$B$32, 2, FALSE) * D136, 0)</f>
        <v>10000</v>
      </c>
    </row>
    <row r="137" spans="1:5" ht="28.8" x14ac:dyDescent="0.3">
      <c r="A137" s="2" t="s">
        <v>5</v>
      </c>
      <c r="B137" s="3">
        <v>45994</v>
      </c>
      <c r="C137" s="3" t="str">
        <f t="shared" si="1"/>
        <v>Dec</v>
      </c>
      <c r="D137">
        <v>1</v>
      </c>
      <c r="E137" s="7">
        <f>IFERROR(VLOOKUP(A137, PriceTable!$A$1:$B$32, 2, FALSE) * D137, 0)</f>
        <v>10000</v>
      </c>
    </row>
    <row r="138" spans="1:5" x14ac:dyDescent="0.3">
      <c r="A138" s="2" t="s">
        <v>26</v>
      </c>
      <c r="B138" s="3">
        <v>45994</v>
      </c>
      <c r="C138" s="3" t="str">
        <f t="shared" si="1"/>
        <v>Dec</v>
      </c>
      <c r="D138">
        <v>1</v>
      </c>
      <c r="E138" s="7">
        <f>IFERROR(VLOOKUP(A138, PriceTable!$A$1:$B$32, 2, FALSE) * D138, 0)</f>
        <v>25000</v>
      </c>
    </row>
    <row r="139" spans="1:5" x14ac:dyDescent="0.3">
      <c r="A139" s="2" t="s">
        <v>2</v>
      </c>
      <c r="B139" s="3">
        <v>45994</v>
      </c>
      <c r="C139" s="3" t="str">
        <f t="shared" si="1"/>
        <v>Dec</v>
      </c>
      <c r="D139">
        <v>1</v>
      </c>
      <c r="E139" s="7">
        <f>IFERROR(VLOOKUP(A139, PriceTable!$A$1:$B$32, 2, FALSE) * D139, 0)</f>
        <v>10000</v>
      </c>
    </row>
    <row r="140" spans="1:5" x14ac:dyDescent="0.3">
      <c r="A140" s="2" t="s">
        <v>30</v>
      </c>
      <c r="B140" s="3">
        <v>45994</v>
      </c>
      <c r="C140" s="3" t="str">
        <f t="shared" si="1"/>
        <v>Dec</v>
      </c>
      <c r="D140">
        <v>1</v>
      </c>
      <c r="E140" s="7">
        <f>IFERROR(VLOOKUP(A140, PriceTable!$A$1:$B$32, 2, FALSE) * D140, 0)</f>
        <v>10000</v>
      </c>
    </row>
    <row r="141" spans="1:5" x14ac:dyDescent="0.3">
      <c r="A141" s="2" t="s">
        <v>46</v>
      </c>
      <c r="B141" s="3">
        <v>45994</v>
      </c>
      <c r="C141" s="3" t="str">
        <f t="shared" si="1"/>
        <v>Dec</v>
      </c>
      <c r="D141">
        <v>1</v>
      </c>
      <c r="E141" s="7">
        <f>IFERROR(VLOOKUP(A141, PriceTable!$A$1:$B$32, 2, FALSE) * D141, 0)</f>
        <v>35000</v>
      </c>
    </row>
    <row r="142" spans="1:5" x14ac:dyDescent="0.3">
      <c r="A142" s="2" t="s">
        <v>2</v>
      </c>
      <c r="B142" s="3">
        <v>45995</v>
      </c>
      <c r="C142" s="3" t="str">
        <f t="shared" si="1"/>
        <v>Dec</v>
      </c>
      <c r="D142">
        <v>1</v>
      </c>
      <c r="E142" s="7">
        <f>IFERROR(VLOOKUP(A142, PriceTable!$A$1:$B$32, 2, FALSE) * D142, 0)</f>
        <v>10000</v>
      </c>
    </row>
    <row r="143" spans="1:5" x14ac:dyDescent="0.3">
      <c r="A143" s="2" t="s">
        <v>24</v>
      </c>
      <c r="B143" s="3">
        <v>45996</v>
      </c>
      <c r="C143" s="3" t="str">
        <f t="shared" si="1"/>
        <v>Dec</v>
      </c>
      <c r="D143">
        <v>1</v>
      </c>
      <c r="E143" s="7">
        <f>IFERROR(VLOOKUP(A143, PriceTable!$A$1:$B$32, 2, FALSE) * D143, 0)</f>
        <v>35000</v>
      </c>
    </row>
    <row r="144" spans="1:5" x14ac:dyDescent="0.3">
      <c r="A144" s="2" t="s">
        <v>35</v>
      </c>
      <c r="B144" s="3">
        <v>45996</v>
      </c>
      <c r="C144" s="3" t="str">
        <f t="shared" si="1"/>
        <v>Dec</v>
      </c>
      <c r="D144">
        <v>2</v>
      </c>
      <c r="E144" s="7">
        <f>IFERROR(VLOOKUP(A144, PriceTable!$A$1:$B$32, 2, FALSE) * D144, 0)</f>
        <v>24000</v>
      </c>
    </row>
    <row r="145" spans="1:5" x14ac:dyDescent="0.3">
      <c r="A145" s="2" t="s">
        <v>24</v>
      </c>
      <c r="B145" s="3">
        <v>45996</v>
      </c>
      <c r="C145" s="3" t="str">
        <f t="shared" si="1"/>
        <v>Dec</v>
      </c>
      <c r="D145">
        <v>1</v>
      </c>
      <c r="E145" s="7">
        <f>IFERROR(VLOOKUP(A145, PriceTable!$A$1:$B$32, 2, FALSE) * D145, 0)</f>
        <v>35000</v>
      </c>
    </row>
    <row r="146" spans="1:5" ht="28.8" x14ac:dyDescent="0.3">
      <c r="A146" s="2" t="s">
        <v>5</v>
      </c>
      <c r="B146" s="3">
        <v>45996</v>
      </c>
      <c r="C146" s="3" t="str">
        <f t="shared" si="1"/>
        <v>Dec</v>
      </c>
      <c r="D146">
        <v>3</v>
      </c>
      <c r="E146" s="7">
        <f>IFERROR(VLOOKUP(A146, PriceTable!$A$1:$B$32, 2, FALSE) * D146, 0)</f>
        <v>30000</v>
      </c>
    </row>
    <row r="147" spans="1:5" x14ac:dyDescent="0.3">
      <c r="A147" s="2" t="s">
        <v>46</v>
      </c>
      <c r="B147" s="3">
        <v>45996</v>
      </c>
      <c r="C147" s="3" t="str">
        <f t="shared" si="1"/>
        <v>Dec</v>
      </c>
      <c r="D147">
        <v>4</v>
      </c>
      <c r="E147" s="7">
        <f>IFERROR(VLOOKUP(A147, PriceTable!$A$1:$B$32, 2, FALSE) * D147, 0)</f>
        <v>140000</v>
      </c>
    </row>
    <row r="148" spans="1:5" x14ac:dyDescent="0.3">
      <c r="A148" s="2" t="s">
        <v>9</v>
      </c>
      <c r="B148" s="3">
        <v>45996</v>
      </c>
      <c r="C148" s="3" t="str">
        <f t="shared" si="1"/>
        <v>Dec</v>
      </c>
      <c r="D148">
        <v>2</v>
      </c>
      <c r="E148" s="7">
        <f>IFERROR(VLOOKUP(A148, PriceTable!$A$1:$B$32, 2, FALSE) * D148, 0)</f>
        <v>120000</v>
      </c>
    </row>
    <row r="149" spans="1:5" x14ac:dyDescent="0.3">
      <c r="A149" s="2" t="s">
        <v>2</v>
      </c>
      <c r="B149" s="3">
        <v>45996</v>
      </c>
      <c r="C149" s="3" t="str">
        <f t="shared" si="1"/>
        <v>Dec</v>
      </c>
      <c r="D149">
        <v>2</v>
      </c>
      <c r="E149" s="7">
        <f>IFERROR(VLOOKUP(A149, PriceTable!$A$1:$B$32, 2, FALSE) * D149, 0)</f>
        <v>20000</v>
      </c>
    </row>
    <row r="150" spans="1:5" x14ac:dyDescent="0.3">
      <c r="A150" s="2" t="s">
        <v>8</v>
      </c>
      <c r="B150" s="3">
        <v>45996</v>
      </c>
      <c r="C150" s="3" t="str">
        <f t="shared" si="1"/>
        <v>Dec</v>
      </c>
      <c r="D150">
        <v>2</v>
      </c>
      <c r="E150" s="7">
        <f>IFERROR(VLOOKUP(A150, PriceTable!$A$1:$B$32, 2, FALSE) * D150, 0)</f>
        <v>40000</v>
      </c>
    </row>
    <row r="151" spans="1:5" x14ac:dyDescent="0.3">
      <c r="A151" s="2" t="s">
        <v>30</v>
      </c>
      <c r="B151" s="3">
        <v>45999</v>
      </c>
      <c r="C151" s="3" t="str">
        <f t="shared" si="1"/>
        <v>Dec</v>
      </c>
      <c r="D151">
        <v>1</v>
      </c>
      <c r="E151" s="7">
        <f>IFERROR(VLOOKUP(A151, PriceTable!$A$1:$B$32, 2, FALSE) * D151, 0)</f>
        <v>10000</v>
      </c>
    </row>
    <row r="152" spans="1:5" x14ac:dyDescent="0.3">
      <c r="A152" s="2" t="s">
        <v>2</v>
      </c>
      <c r="B152" s="3">
        <v>45999</v>
      </c>
      <c r="C152" s="3" t="str">
        <f t="shared" si="1"/>
        <v>Dec</v>
      </c>
      <c r="D152">
        <v>2</v>
      </c>
      <c r="E152" s="7">
        <f>IFERROR(VLOOKUP(A152, PriceTable!$A$1:$B$32, 2, FALSE) * D152, 0)</f>
        <v>20000</v>
      </c>
    </row>
    <row r="153" spans="1:5" x14ac:dyDescent="0.3">
      <c r="A153" s="2" t="s">
        <v>8</v>
      </c>
      <c r="B153" s="3">
        <v>45999</v>
      </c>
      <c r="C153" s="3" t="str">
        <f t="shared" si="1"/>
        <v>Dec</v>
      </c>
      <c r="D153">
        <v>1</v>
      </c>
      <c r="E153" s="7">
        <f>IFERROR(VLOOKUP(A153, PriceTable!$A$1:$B$32, 2, FALSE) * D153, 0)</f>
        <v>20000</v>
      </c>
    </row>
    <row r="154" spans="1:5" x14ac:dyDescent="0.3">
      <c r="A154" s="2" t="s">
        <v>4</v>
      </c>
      <c r="B154" s="3">
        <v>45999</v>
      </c>
      <c r="C154" s="3" t="str">
        <f t="shared" si="1"/>
        <v>Dec</v>
      </c>
      <c r="D154">
        <v>1</v>
      </c>
      <c r="E154" s="7">
        <f>IFERROR(VLOOKUP(A154, PriceTable!$A$1:$B$32, 2, FALSE) * D154, 0)</f>
        <v>25000</v>
      </c>
    </row>
    <row r="155" spans="1:5" x14ac:dyDescent="0.3">
      <c r="A155" s="2" t="s">
        <v>24</v>
      </c>
      <c r="B155" s="3">
        <v>45999</v>
      </c>
      <c r="C155" s="3" t="str">
        <f t="shared" si="1"/>
        <v>Dec</v>
      </c>
      <c r="D155">
        <v>1</v>
      </c>
      <c r="E155" s="7">
        <f>IFERROR(VLOOKUP(A155, PriceTable!$A$1:$B$32, 2, FALSE) * D155, 0)</f>
        <v>35000</v>
      </c>
    </row>
    <row r="156" spans="1:5" x14ac:dyDescent="0.3">
      <c r="A156" s="2" t="s">
        <v>27</v>
      </c>
      <c r="B156" s="3">
        <v>45999</v>
      </c>
      <c r="C156" s="3" t="str">
        <f t="shared" si="1"/>
        <v>Dec</v>
      </c>
      <c r="D156">
        <v>1</v>
      </c>
      <c r="E156" s="7">
        <f>IFERROR(VLOOKUP(A156, PriceTable!$A$1:$B$32, 2, FALSE) * D156, 0)</f>
        <v>10000</v>
      </c>
    </row>
    <row r="157" spans="1:5" x14ac:dyDescent="0.3">
      <c r="A157" s="2" t="s">
        <v>8</v>
      </c>
      <c r="B157" s="3">
        <v>46001</v>
      </c>
      <c r="C157" s="3" t="str">
        <f t="shared" si="1"/>
        <v>Dec</v>
      </c>
      <c r="D157">
        <v>1</v>
      </c>
      <c r="E157" s="7">
        <f>IFERROR(VLOOKUP(A157, PriceTable!$A$1:$B$32, 2, FALSE) * D157, 0)</f>
        <v>20000</v>
      </c>
    </row>
    <row r="158" spans="1:5" x14ac:dyDescent="0.3">
      <c r="A158" s="2" t="s">
        <v>7</v>
      </c>
      <c r="B158" s="3">
        <v>46001</v>
      </c>
      <c r="C158" s="3" t="str">
        <f t="shared" si="1"/>
        <v>Dec</v>
      </c>
      <c r="D158">
        <v>2</v>
      </c>
      <c r="E158" s="7">
        <f>IFERROR(VLOOKUP(A158, PriceTable!$A$1:$B$32, 2, FALSE) * D158, 0)</f>
        <v>20000</v>
      </c>
    </row>
    <row r="159" spans="1:5" x14ac:dyDescent="0.3">
      <c r="A159" s="2" t="s">
        <v>38</v>
      </c>
      <c r="B159" s="3">
        <v>46001</v>
      </c>
      <c r="C159" s="3" t="str">
        <f t="shared" si="1"/>
        <v>Dec</v>
      </c>
      <c r="D159">
        <v>1</v>
      </c>
      <c r="E159" s="7">
        <f>IFERROR(VLOOKUP(A159, PriceTable!$A$1:$B$32, 2, FALSE) * D159, 0)</f>
        <v>7000</v>
      </c>
    </row>
    <row r="160" spans="1:5" x14ac:dyDescent="0.3">
      <c r="A160" s="2" t="s">
        <v>2</v>
      </c>
      <c r="B160" s="3">
        <v>46001</v>
      </c>
      <c r="C160" s="3" t="str">
        <f t="shared" si="1"/>
        <v>Dec</v>
      </c>
      <c r="D160">
        <v>1</v>
      </c>
      <c r="E160" s="7">
        <f>IFERROR(VLOOKUP(A160, PriceTable!$A$1:$B$32, 2, FALSE) * D160, 0)</f>
        <v>10000</v>
      </c>
    </row>
    <row r="161" spans="1:5" ht="28.8" x14ac:dyDescent="0.3">
      <c r="A161" s="2" t="s">
        <v>5</v>
      </c>
      <c r="B161" s="3">
        <v>46002</v>
      </c>
      <c r="C161" s="3" t="str">
        <f t="shared" si="1"/>
        <v>Dec</v>
      </c>
      <c r="D161">
        <v>1</v>
      </c>
      <c r="E161" s="7">
        <f>IFERROR(VLOOKUP(A161, PriceTable!$A$1:$B$32, 2, FALSE) * D161, 0)</f>
        <v>10000</v>
      </c>
    </row>
    <row r="162" spans="1:5" x14ac:dyDescent="0.3">
      <c r="A162" s="2" t="s">
        <v>24</v>
      </c>
      <c r="B162" s="3">
        <v>46003</v>
      </c>
      <c r="C162" s="3" t="str">
        <f t="shared" si="1"/>
        <v>Dec</v>
      </c>
      <c r="D162">
        <v>1</v>
      </c>
      <c r="E162" s="7">
        <f>IFERROR(VLOOKUP(A162, PriceTable!$A$1:$B$32, 2, FALSE) * D162, 0)</f>
        <v>35000</v>
      </c>
    </row>
    <row r="163" spans="1:5" ht="28.8" x14ac:dyDescent="0.3">
      <c r="A163" s="2" t="s">
        <v>5</v>
      </c>
      <c r="B163" s="3">
        <v>46003</v>
      </c>
      <c r="C163" s="3" t="str">
        <f t="shared" ref="C163:C164" si="2">TEXT(B163, "mmm")</f>
        <v>Dec</v>
      </c>
      <c r="D163">
        <v>1</v>
      </c>
      <c r="E163" s="7">
        <f>IFERROR(VLOOKUP(A163, PriceTable!$A$1:$B$32, 2, FALSE) * D163, 0)</f>
        <v>10000</v>
      </c>
    </row>
    <row r="164" spans="1:5" x14ac:dyDescent="0.3">
      <c r="A164" s="2" t="s">
        <v>8</v>
      </c>
      <c r="B164" s="3">
        <v>46003</v>
      </c>
      <c r="C164" s="3" t="str">
        <f t="shared" si="2"/>
        <v>Dec</v>
      </c>
      <c r="D164">
        <v>1</v>
      </c>
      <c r="E164" s="7">
        <f>IFERROR(VLOOKUP(A164, PriceTable!$A$1:$B$32, 2, FALSE) * D164, 0)</f>
        <v>20000</v>
      </c>
    </row>
    <row r="165" spans="1:5" x14ac:dyDescent="0.3">
      <c r="A165" s="2" t="s">
        <v>9</v>
      </c>
      <c r="B165" s="3">
        <v>46003</v>
      </c>
      <c r="C165" s="3" t="str">
        <f>TEXT(B165, "mmm")</f>
        <v>Dec</v>
      </c>
      <c r="D165">
        <v>1</v>
      </c>
      <c r="E165" s="7">
        <f>IFERROR(VLOOKUP(A165, PriceTable!$A$1:$B$32, 2, FALSE) * D165, 0)</f>
        <v>60000</v>
      </c>
    </row>
    <row r="166" spans="1:5" x14ac:dyDescent="0.3">
      <c r="A166" s="2" t="s">
        <v>8</v>
      </c>
      <c r="B166" s="3">
        <v>46004</v>
      </c>
      <c r="C166" s="3" t="str">
        <f t="shared" ref="C166:C227" si="3">TEXT(B166, "mmm")</f>
        <v>Dec</v>
      </c>
      <c r="D166">
        <v>1</v>
      </c>
      <c r="E166" s="7">
        <f>IFERROR(VLOOKUP(A166, PriceTable!$A$1:$B$32, 2, FALSE) * D166, 0)</f>
        <v>20000</v>
      </c>
    </row>
    <row r="167" spans="1:5" x14ac:dyDescent="0.3">
      <c r="A167" s="2" t="s">
        <v>24</v>
      </c>
      <c r="B167" s="3">
        <v>46004</v>
      </c>
      <c r="C167" s="3" t="str">
        <f t="shared" si="3"/>
        <v>Dec</v>
      </c>
      <c r="D167">
        <v>1</v>
      </c>
      <c r="E167" s="7">
        <f>IFERROR(VLOOKUP(A167, PriceTable!$A$1:$B$32, 2, FALSE) * D167, 0)</f>
        <v>35000</v>
      </c>
    </row>
    <row r="168" spans="1:5" ht="28.8" x14ac:dyDescent="0.3">
      <c r="A168" s="2" t="s">
        <v>5</v>
      </c>
      <c r="B168" s="3">
        <v>46006</v>
      </c>
      <c r="C168" s="3" t="str">
        <f t="shared" si="3"/>
        <v>Dec</v>
      </c>
      <c r="D168">
        <v>3</v>
      </c>
      <c r="E168" s="7">
        <f>IFERROR(VLOOKUP(A168, PriceTable!$A$1:$B$32, 2, FALSE) * D168, 0)</f>
        <v>30000</v>
      </c>
    </row>
    <row r="169" spans="1:5" x14ac:dyDescent="0.3">
      <c r="A169" s="2" t="s">
        <v>26</v>
      </c>
      <c r="B169" s="3">
        <v>46006</v>
      </c>
      <c r="C169" s="3" t="str">
        <f t="shared" si="3"/>
        <v>Dec</v>
      </c>
      <c r="D169">
        <v>1</v>
      </c>
      <c r="E169" s="7">
        <f>IFERROR(VLOOKUP(A169, PriceTable!$A$1:$B$32, 2, FALSE) * D169, 0)</f>
        <v>25000</v>
      </c>
    </row>
    <row r="170" spans="1:5" x14ac:dyDescent="0.3">
      <c r="A170" s="2" t="s">
        <v>2</v>
      </c>
      <c r="B170" s="3">
        <v>46006</v>
      </c>
      <c r="C170" s="3" t="str">
        <f t="shared" si="3"/>
        <v>Dec</v>
      </c>
      <c r="D170">
        <v>2</v>
      </c>
      <c r="E170" s="7">
        <f>IFERROR(VLOOKUP(A170, PriceTable!$A$1:$B$32, 2, FALSE) * D170, 0)</f>
        <v>20000</v>
      </c>
    </row>
    <row r="171" spans="1:5" x14ac:dyDescent="0.3">
      <c r="A171" s="2" t="s">
        <v>24</v>
      </c>
      <c r="B171" s="3">
        <v>46006</v>
      </c>
      <c r="C171" s="3" t="str">
        <f t="shared" si="3"/>
        <v>Dec</v>
      </c>
      <c r="D171">
        <v>1</v>
      </c>
      <c r="E171" s="7">
        <f>IFERROR(VLOOKUP(A171, PriceTable!$A$1:$B$32, 2, FALSE) * D171, 0)</f>
        <v>35000</v>
      </c>
    </row>
    <row r="172" spans="1:5" x14ac:dyDescent="0.3">
      <c r="A172" s="2" t="s">
        <v>27</v>
      </c>
      <c r="B172" s="3">
        <v>46006</v>
      </c>
      <c r="C172" s="3" t="str">
        <f t="shared" si="3"/>
        <v>Dec</v>
      </c>
      <c r="D172">
        <v>2</v>
      </c>
      <c r="E172" s="7">
        <f>IFERROR(VLOOKUP(A172, PriceTable!$A$1:$B$32, 2, FALSE) * D172, 0)</f>
        <v>20000</v>
      </c>
    </row>
    <row r="173" spans="1:5" x14ac:dyDescent="0.3">
      <c r="A173" s="2" t="s">
        <v>10</v>
      </c>
      <c r="B173" s="3">
        <v>46006</v>
      </c>
      <c r="C173" s="3" t="str">
        <f t="shared" si="3"/>
        <v>Dec</v>
      </c>
      <c r="D173">
        <v>1</v>
      </c>
      <c r="E173" s="7">
        <f>IFERROR(VLOOKUP(A173, PriceTable!$A$1:$B$32, 2, FALSE) * D173, 0)</f>
        <v>35000</v>
      </c>
    </row>
    <row r="174" spans="1:5" x14ac:dyDescent="0.3">
      <c r="A174" s="2" t="s">
        <v>35</v>
      </c>
      <c r="B174" s="3">
        <v>46006</v>
      </c>
      <c r="C174" s="3" t="str">
        <f t="shared" si="3"/>
        <v>Dec</v>
      </c>
      <c r="D174">
        <v>1</v>
      </c>
      <c r="E174" s="7">
        <f>IFERROR(VLOOKUP(A174, PriceTable!$A$1:$B$32, 2, FALSE) * D174, 0)</f>
        <v>12000</v>
      </c>
    </row>
    <row r="175" spans="1:5" x14ac:dyDescent="0.3">
      <c r="A175" s="2" t="s">
        <v>34</v>
      </c>
      <c r="B175" s="3">
        <v>46007</v>
      </c>
      <c r="C175" s="3" t="str">
        <f t="shared" si="3"/>
        <v>Dec</v>
      </c>
      <c r="D175">
        <v>1</v>
      </c>
      <c r="E175" s="7">
        <f>IFERROR(VLOOKUP(A175, PriceTable!$A$1:$B$32, 2, FALSE) * D175, 0)</f>
        <v>25000</v>
      </c>
    </row>
    <row r="176" spans="1:5" x14ac:dyDescent="0.3">
      <c r="A176" s="2" t="s">
        <v>9</v>
      </c>
      <c r="B176" s="3">
        <v>46007</v>
      </c>
      <c r="C176" s="3" t="str">
        <f t="shared" si="3"/>
        <v>Dec</v>
      </c>
      <c r="D176">
        <v>1</v>
      </c>
      <c r="E176" s="7">
        <f>IFERROR(VLOOKUP(A176, PriceTable!$A$1:$B$32, 2, FALSE) * D176, 0)</f>
        <v>60000</v>
      </c>
    </row>
    <row r="177" spans="1:5" x14ac:dyDescent="0.3">
      <c r="A177" s="2" t="s">
        <v>3</v>
      </c>
      <c r="B177" s="3">
        <v>46007</v>
      </c>
      <c r="C177" s="3" t="str">
        <f t="shared" si="3"/>
        <v>Dec</v>
      </c>
      <c r="D177">
        <v>1</v>
      </c>
      <c r="E177" s="7">
        <f>IFERROR(VLOOKUP(A177, PriceTable!$A$1:$B$32, 2, FALSE) * D177, 0)</f>
        <v>35000</v>
      </c>
    </row>
    <row r="178" spans="1:5" x14ac:dyDescent="0.3">
      <c r="A178" s="2" t="s">
        <v>8</v>
      </c>
      <c r="B178" s="3">
        <v>46007</v>
      </c>
      <c r="C178" s="3" t="str">
        <f t="shared" si="3"/>
        <v>Dec</v>
      </c>
      <c r="D178">
        <v>1</v>
      </c>
      <c r="E178" s="7">
        <f>IFERROR(VLOOKUP(A178, PriceTable!$A$1:$B$32, 2, FALSE) * D178, 0)</f>
        <v>20000</v>
      </c>
    </row>
    <row r="179" spans="1:5" x14ac:dyDescent="0.3">
      <c r="A179" s="2" t="s">
        <v>33</v>
      </c>
      <c r="B179" s="3">
        <v>46008</v>
      </c>
      <c r="C179" s="3" t="str">
        <f t="shared" si="3"/>
        <v>Dec</v>
      </c>
      <c r="D179">
        <v>1</v>
      </c>
      <c r="E179" s="7">
        <f>IFERROR(VLOOKUP(A179, PriceTable!$A$1:$B$32, 2, FALSE) * D179, 0)</f>
        <v>55000</v>
      </c>
    </row>
    <row r="180" spans="1:5" x14ac:dyDescent="0.3">
      <c r="A180" s="2" t="s">
        <v>31</v>
      </c>
      <c r="B180" s="3">
        <v>46008</v>
      </c>
      <c r="C180" s="3" t="str">
        <f t="shared" si="3"/>
        <v>Dec</v>
      </c>
      <c r="D180">
        <v>1</v>
      </c>
      <c r="E180" s="7">
        <f>IFERROR(VLOOKUP(A180, PriceTable!$A$1:$B$32, 2, FALSE) * D180, 0)</f>
        <v>20000</v>
      </c>
    </row>
    <row r="181" spans="1:5" x14ac:dyDescent="0.3">
      <c r="A181" s="2" t="s">
        <v>35</v>
      </c>
      <c r="B181" s="3">
        <v>46008</v>
      </c>
      <c r="C181" s="3" t="str">
        <f t="shared" si="3"/>
        <v>Dec</v>
      </c>
      <c r="D181">
        <v>1</v>
      </c>
      <c r="E181" s="7">
        <f>IFERROR(VLOOKUP(A181, PriceTable!$A$1:$B$32, 2, FALSE) * D181, 0)</f>
        <v>12000</v>
      </c>
    </row>
    <row r="182" spans="1:5" x14ac:dyDescent="0.3">
      <c r="A182" s="2" t="s">
        <v>8</v>
      </c>
      <c r="B182" s="3">
        <v>46009</v>
      </c>
      <c r="C182" s="3" t="str">
        <f t="shared" si="3"/>
        <v>Dec</v>
      </c>
      <c r="D182">
        <v>1</v>
      </c>
      <c r="E182" s="7">
        <f>IFERROR(VLOOKUP(A182, PriceTable!$A$1:$B$32, 2, FALSE) * D182, 0)</f>
        <v>20000</v>
      </c>
    </row>
    <row r="183" spans="1:5" x14ac:dyDescent="0.3">
      <c r="A183" s="2" t="s">
        <v>2</v>
      </c>
      <c r="B183" s="3">
        <v>46009</v>
      </c>
      <c r="C183" s="3" t="str">
        <f t="shared" si="3"/>
        <v>Dec</v>
      </c>
      <c r="D183">
        <v>1</v>
      </c>
      <c r="E183" s="7">
        <f>IFERROR(VLOOKUP(A183, PriceTable!$A$1:$B$32, 2, FALSE) * D183, 0)</f>
        <v>10000</v>
      </c>
    </row>
    <row r="184" spans="1:5" ht="28.8" x14ac:dyDescent="0.3">
      <c r="A184" s="2" t="s">
        <v>5</v>
      </c>
      <c r="B184" s="3">
        <v>46009</v>
      </c>
      <c r="C184" s="3" t="str">
        <f t="shared" si="3"/>
        <v>Dec</v>
      </c>
      <c r="D184">
        <v>1</v>
      </c>
      <c r="E184" s="7">
        <f>IFERROR(VLOOKUP(A184, PriceTable!$A$1:$B$32, 2, FALSE) * D184, 0)</f>
        <v>10000</v>
      </c>
    </row>
    <row r="185" spans="1:5" x14ac:dyDescent="0.3">
      <c r="A185" t="s">
        <v>5</v>
      </c>
      <c r="B185" s="3">
        <v>46010</v>
      </c>
      <c r="C185" s="3" t="str">
        <f t="shared" si="3"/>
        <v>Dec</v>
      </c>
      <c r="D185">
        <v>1</v>
      </c>
      <c r="E185" s="7">
        <f>IFERROR(VLOOKUP(A185, PriceTable!$A$1:$B$32, 2, FALSE) * D185, 0)</f>
        <v>10000</v>
      </c>
    </row>
    <row r="186" spans="1:5" x14ac:dyDescent="0.3">
      <c r="A186" s="2" t="s">
        <v>30</v>
      </c>
      <c r="B186" s="3">
        <v>46010</v>
      </c>
      <c r="C186" s="3" t="str">
        <f t="shared" si="3"/>
        <v>Dec</v>
      </c>
      <c r="D186">
        <v>1</v>
      </c>
      <c r="E186" s="7">
        <f>IFERROR(VLOOKUP(A186, PriceTable!$A$1:$B$32, 2, FALSE) * D186, 0)</f>
        <v>10000</v>
      </c>
    </row>
    <row r="187" spans="1:5" x14ac:dyDescent="0.3">
      <c r="A187" s="2" t="s">
        <v>2</v>
      </c>
      <c r="B187" s="3">
        <v>46010</v>
      </c>
      <c r="C187" s="3" t="str">
        <f t="shared" si="3"/>
        <v>Dec</v>
      </c>
      <c r="D187">
        <v>1</v>
      </c>
      <c r="E187" s="7">
        <f>IFERROR(VLOOKUP(A187, PriceTable!$A$1:$B$32, 2, FALSE) * D187, 0)</f>
        <v>10000</v>
      </c>
    </row>
    <row r="188" spans="1:5" x14ac:dyDescent="0.3">
      <c r="A188" s="2" t="s">
        <v>33</v>
      </c>
      <c r="B188" s="3">
        <v>46010</v>
      </c>
      <c r="C188" s="3" t="str">
        <f t="shared" si="3"/>
        <v>Dec</v>
      </c>
      <c r="D188">
        <v>3</v>
      </c>
      <c r="E188" s="7">
        <f>IFERROR(VLOOKUP(A188, PriceTable!$A$1:$B$32, 2, FALSE) * D188, 0)</f>
        <v>165000</v>
      </c>
    </row>
    <row r="189" spans="1:5" x14ac:dyDescent="0.3">
      <c r="A189" s="2" t="s">
        <v>47</v>
      </c>
      <c r="B189" s="3">
        <v>46010</v>
      </c>
      <c r="C189" s="3" t="str">
        <f t="shared" si="3"/>
        <v>Dec</v>
      </c>
      <c r="D189">
        <v>1</v>
      </c>
      <c r="E189" s="7">
        <f>IFERROR(VLOOKUP(A189, PriceTable!$A$1:$B$32, 2, FALSE) * D189, 0)</f>
        <v>20000</v>
      </c>
    </row>
    <row r="190" spans="1:5" x14ac:dyDescent="0.3">
      <c r="A190" s="2" t="s">
        <v>3</v>
      </c>
      <c r="B190" s="3">
        <v>46010</v>
      </c>
      <c r="C190" s="3" t="str">
        <f t="shared" si="3"/>
        <v>Dec</v>
      </c>
      <c r="D190">
        <v>1</v>
      </c>
      <c r="E190" s="7">
        <f>IFERROR(VLOOKUP(A190, PriceTable!$A$1:$B$32, 2, FALSE) * D190, 0)</f>
        <v>35000</v>
      </c>
    </row>
    <row r="191" spans="1:5" x14ac:dyDescent="0.3">
      <c r="A191" s="2" t="s">
        <v>31</v>
      </c>
      <c r="B191" s="3">
        <v>46010</v>
      </c>
      <c r="C191" s="3" t="str">
        <f t="shared" si="3"/>
        <v>Dec</v>
      </c>
      <c r="D191">
        <v>1</v>
      </c>
      <c r="E191" s="7">
        <f>IFERROR(VLOOKUP(A191, PriceTable!$A$1:$B$32, 2, FALSE) * D191, 0)</f>
        <v>20000</v>
      </c>
    </row>
    <row r="192" spans="1:5" x14ac:dyDescent="0.3">
      <c r="A192" s="2" t="s">
        <v>24</v>
      </c>
      <c r="B192" s="3">
        <v>46010</v>
      </c>
      <c r="C192" s="3" t="str">
        <f t="shared" si="3"/>
        <v>Dec</v>
      </c>
      <c r="D192">
        <v>1</v>
      </c>
      <c r="E192" s="7">
        <f>IFERROR(VLOOKUP(A192, PriceTable!$A$1:$B$32, 2, FALSE) * D192, 0)</f>
        <v>35000</v>
      </c>
    </row>
    <row r="193" spans="1:5" x14ac:dyDescent="0.3">
      <c r="A193" s="2" t="s">
        <v>8</v>
      </c>
      <c r="B193" s="3">
        <v>46010</v>
      </c>
      <c r="C193" s="3" t="str">
        <f t="shared" si="3"/>
        <v>Dec</v>
      </c>
      <c r="D193">
        <v>1</v>
      </c>
      <c r="E193" s="7">
        <f>IFERROR(VLOOKUP(A193, PriceTable!$A$1:$B$32, 2, FALSE) * D193, 0)</f>
        <v>20000</v>
      </c>
    </row>
    <row r="194" spans="1:5" x14ac:dyDescent="0.3">
      <c r="A194" s="2" t="s">
        <v>14</v>
      </c>
      <c r="B194" s="3">
        <v>46011</v>
      </c>
      <c r="C194" s="3" t="str">
        <f t="shared" si="3"/>
        <v>Dec</v>
      </c>
      <c r="D194">
        <v>1</v>
      </c>
      <c r="E194" s="7">
        <f>IFERROR(VLOOKUP(A194, PriceTable!$A$1:$B$32, 2, FALSE) * D194, 0)</f>
        <v>15000</v>
      </c>
    </row>
    <row r="195" spans="1:5" ht="28.8" x14ac:dyDescent="0.3">
      <c r="A195" s="2" t="s">
        <v>5</v>
      </c>
      <c r="B195" s="3">
        <v>46011</v>
      </c>
      <c r="C195" s="3" t="str">
        <f t="shared" si="3"/>
        <v>Dec</v>
      </c>
      <c r="D195">
        <v>1</v>
      </c>
      <c r="E195" s="7">
        <f>IFERROR(VLOOKUP(A195, PriceTable!$A$1:$B$32, 2, FALSE) * D195, 0)</f>
        <v>10000</v>
      </c>
    </row>
    <row r="196" spans="1:5" x14ac:dyDescent="0.3">
      <c r="A196" s="2" t="s">
        <v>3</v>
      </c>
      <c r="B196" s="3">
        <v>46011</v>
      </c>
      <c r="C196" s="3" t="str">
        <f t="shared" si="3"/>
        <v>Dec</v>
      </c>
      <c r="D196">
        <v>1</v>
      </c>
      <c r="E196" s="7">
        <f>IFERROR(VLOOKUP(A196, PriceTable!$A$1:$B$32, 2, FALSE) * D196, 0)</f>
        <v>35000</v>
      </c>
    </row>
    <row r="197" spans="1:5" x14ac:dyDescent="0.3">
      <c r="A197" s="2" t="s">
        <v>30</v>
      </c>
      <c r="B197" s="3">
        <v>46011</v>
      </c>
      <c r="C197" s="3" t="str">
        <f t="shared" si="3"/>
        <v>Dec</v>
      </c>
      <c r="D197">
        <v>1</v>
      </c>
      <c r="E197" s="7">
        <f>IFERROR(VLOOKUP(A197, PriceTable!$A$1:$B$32, 2, FALSE) * D197, 0)</f>
        <v>10000</v>
      </c>
    </row>
    <row r="198" spans="1:5" x14ac:dyDescent="0.3">
      <c r="A198" s="2" t="s">
        <v>13</v>
      </c>
      <c r="B198" s="3">
        <v>46011</v>
      </c>
      <c r="C198" s="3" t="str">
        <f t="shared" si="3"/>
        <v>Dec</v>
      </c>
      <c r="D198">
        <v>1</v>
      </c>
      <c r="E198" s="7">
        <f>IFERROR(VLOOKUP(A198, PriceTable!$A$1:$B$32, 2, FALSE) * D198, 0)</f>
        <v>25000</v>
      </c>
    </row>
    <row r="199" spans="1:5" x14ac:dyDescent="0.3">
      <c r="A199" s="2" t="s">
        <v>24</v>
      </c>
      <c r="B199" s="3">
        <v>46013</v>
      </c>
      <c r="C199" s="3" t="str">
        <f t="shared" si="3"/>
        <v>Dec</v>
      </c>
      <c r="D199">
        <v>3</v>
      </c>
      <c r="E199" s="7">
        <f>IFERROR(VLOOKUP(A199, PriceTable!$A$1:$B$32, 2, FALSE) * D199, 0)</f>
        <v>105000</v>
      </c>
    </row>
    <row r="200" spans="1:5" x14ac:dyDescent="0.3">
      <c r="A200" s="2" t="s">
        <v>24</v>
      </c>
      <c r="B200" s="3">
        <v>46014</v>
      </c>
      <c r="C200" s="3" t="str">
        <f t="shared" si="3"/>
        <v>Dec</v>
      </c>
      <c r="D200">
        <v>1</v>
      </c>
      <c r="E200" s="7">
        <f>IFERROR(VLOOKUP(A200, PriceTable!$A$1:$B$32, 2, FALSE) * D200, 0)</f>
        <v>35000</v>
      </c>
    </row>
    <row r="201" spans="1:5" x14ac:dyDescent="0.3">
      <c r="A201" s="2" t="s">
        <v>10</v>
      </c>
      <c r="B201" s="3">
        <v>46014</v>
      </c>
      <c r="C201" s="3" t="str">
        <f t="shared" si="3"/>
        <v>Dec</v>
      </c>
      <c r="D201">
        <v>1</v>
      </c>
      <c r="E201" s="7">
        <f>IFERROR(VLOOKUP(A201, PriceTable!$A$1:$B$32, 2, FALSE) * D201, 0)</f>
        <v>35000</v>
      </c>
    </row>
    <row r="202" spans="1:5" x14ac:dyDescent="0.3">
      <c r="A202" s="2" t="s">
        <v>35</v>
      </c>
      <c r="B202" s="3">
        <v>46014</v>
      </c>
      <c r="C202" s="3" t="str">
        <f t="shared" si="3"/>
        <v>Dec</v>
      </c>
      <c r="D202">
        <v>2</v>
      </c>
      <c r="E202" s="7">
        <f>IFERROR(VLOOKUP(A202, PriceTable!$A$1:$B$32, 2, FALSE) * D202, 0)</f>
        <v>24000</v>
      </c>
    </row>
    <row r="203" spans="1:5" x14ac:dyDescent="0.3">
      <c r="A203" s="2" t="s">
        <v>8</v>
      </c>
      <c r="B203" s="3">
        <v>46014</v>
      </c>
      <c r="C203" s="3" t="str">
        <f t="shared" si="3"/>
        <v>Dec</v>
      </c>
      <c r="D203">
        <v>1</v>
      </c>
      <c r="E203" s="7">
        <f>IFERROR(VLOOKUP(A203, PriceTable!$A$1:$B$32, 2, FALSE) * D203, 0)</f>
        <v>20000</v>
      </c>
    </row>
    <row r="204" spans="1:5" ht="28.8" x14ac:dyDescent="0.3">
      <c r="A204" s="2" t="s">
        <v>5</v>
      </c>
      <c r="B204" s="3">
        <v>46014</v>
      </c>
      <c r="C204" s="3" t="str">
        <f t="shared" si="3"/>
        <v>Dec</v>
      </c>
      <c r="D204">
        <v>1</v>
      </c>
      <c r="E204" s="7">
        <f>IFERROR(VLOOKUP(A204, PriceTable!$A$1:$B$32, 2, FALSE) * D204, 0)</f>
        <v>10000</v>
      </c>
    </row>
    <row r="205" spans="1:5" x14ac:dyDescent="0.3">
      <c r="A205" s="2" t="s">
        <v>24</v>
      </c>
      <c r="B205" s="3">
        <v>46015</v>
      </c>
      <c r="C205" s="3" t="str">
        <f t="shared" si="3"/>
        <v>Dec</v>
      </c>
      <c r="D205">
        <v>4</v>
      </c>
      <c r="E205" s="7">
        <f>IFERROR(VLOOKUP(A205, PriceTable!$A$1:$B$32, 2, FALSE) * D205, 0)</f>
        <v>140000</v>
      </c>
    </row>
    <row r="206" spans="1:5" x14ac:dyDescent="0.3">
      <c r="A206" s="2" t="s">
        <v>13</v>
      </c>
      <c r="B206" s="3">
        <v>46015</v>
      </c>
      <c r="C206" s="3" t="str">
        <f t="shared" si="3"/>
        <v>Dec</v>
      </c>
      <c r="D206">
        <v>2</v>
      </c>
      <c r="E206" s="7">
        <f>IFERROR(VLOOKUP(A206, PriceTable!$A$1:$B$32, 2, FALSE) * D206, 0)</f>
        <v>50000</v>
      </c>
    </row>
    <row r="207" spans="1:5" x14ac:dyDescent="0.3">
      <c r="A207" s="2" t="s">
        <v>11</v>
      </c>
      <c r="B207" s="3">
        <v>46015</v>
      </c>
      <c r="C207" s="3" t="str">
        <f t="shared" si="3"/>
        <v>Dec</v>
      </c>
      <c r="D207">
        <v>1</v>
      </c>
      <c r="E207" s="7">
        <f>IFERROR(VLOOKUP(A207, PriceTable!$A$1:$B$32, 2, FALSE) * D207, 0)</f>
        <v>10000</v>
      </c>
    </row>
    <row r="208" spans="1:5" x14ac:dyDescent="0.3">
      <c r="A208" s="2" t="s">
        <v>2</v>
      </c>
      <c r="B208" s="3">
        <v>46015</v>
      </c>
      <c r="C208" s="3" t="str">
        <f t="shared" si="3"/>
        <v>Dec</v>
      </c>
      <c r="D208">
        <v>1</v>
      </c>
      <c r="E208" s="7">
        <f>IFERROR(VLOOKUP(A208, PriceTable!$A$1:$B$32, 2, FALSE) * D208, 0)</f>
        <v>10000</v>
      </c>
    </row>
    <row r="209" spans="1:5" x14ac:dyDescent="0.3">
      <c r="A209" s="2" t="s">
        <v>48</v>
      </c>
      <c r="B209" s="3">
        <v>46015</v>
      </c>
      <c r="C209" s="3" t="str">
        <f t="shared" si="3"/>
        <v>Dec</v>
      </c>
      <c r="D209">
        <v>1</v>
      </c>
      <c r="E209" s="7">
        <f>IFERROR(VLOOKUP(A209, PriceTable!$A$1:$B$32, 2, FALSE) * D209, 0)</f>
        <v>5000</v>
      </c>
    </row>
    <row r="210" spans="1:5" x14ac:dyDescent="0.3">
      <c r="A210" s="2" t="s">
        <v>46</v>
      </c>
      <c r="B210" s="3">
        <v>46018</v>
      </c>
      <c r="C210" s="3" t="str">
        <f t="shared" si="3"/>
        <v>Dec</v>
      </c>
      <c r="D210">
        <v>1</v>
      </c>
      <c r="E210" s="7">
        <f>IFERROR(VLOOKUP(A210, PriceTable!$A$1:$B$32, 2, FALSE) * D210, 0)</f>
        <v>35000</v>
      </c>
    </row>
    <row r="211" spans="1:5" x14ac:dyDescent="0.3">
      <c r="A211" s="2" t="s">
        <v>13</v>
      </c>
      <c r="B211" s="3">
        <v>46018</v>
      </c>
      <c r="C211" s="3" t="str">
        <f t="shared" si="3"/>
        <v>Dec</v>
      </c>
      <c r="D211">
        <v>1</v>
      </c>
      <c r="E211" s="7">
        <f>IFERROR(VLOOKUP(A211, PriceTable!$A$1:$B$32, 2, FALSE) * D211, 0)</f>
        <v>25000</v>
      </c>
    </row>
    <row r="212" spans="1:5" x14ac:dyDescent="0.3">
      <c r="A212" s="2" t="s">
        <v>34</v>
      </c>
      <c r="B212" s="3">
        <v>46018</v>
      </c>
      <c r="C212" s="3" t="str">
        <f t="shared" si="3"/>
        <v>Dec</v>
      </c>
      <c r="D212">
        <v>1</v>
      </c>
      <c r="E212" s="7">
        <f>IFERROR(VLOOKUP(A212, PriceTable!$A$1:$B$32, 2, FALSE) * D212, 0)</f>
        <v>25000</v>
      </c>
    </row>
    <row r="213" spans="1:5" x14ac:dyDescent="0.3">
      <c r="A213" s="2" t="s">
        <v>8</v>
      </c>
      <c r="B213" s="3">
        <v>46018</v>
      </c>
      <c r="C213" s="3" t="str">
        <f t="shared" si="3"/>
        <v>Dec</v>
      </c>
      <c r="D213">
        <v>1</v>
      </c>
      <c r="E213" s="7">
        <f>IFERROR(VLOOKUP(A213, PriceTable!$A$1:$B$32, 2, FALSE) * D213, 0)</f>
        <v>20000</v>
      </c>
    </row>
    <row r="214" spans="1:5" ht="28.8" x14ac:dyDescent="0.3">
      <c r="A214" s="2" t="s">
        <v>5</v>
      </c>
      <c r="B214" s="3">
        <v>46019</v>
      </c>
      <c r="C214" s="3" t="str">
        <f t="shared" si="3"/>
        <v>Dec</v>
      </c>
      <c r="D214">
        <v>5</v>
      </c>
      <c r="E214" s="7">
        <f>IFERROR(VLOOKUP(A214, PriceTable!$A$1:$B$32, 2, FALSE) * D214, 0)</f>
        <v>50000</v>
      </c>
    </row>
    <row r="215" spans="1:5" x14ac:dyDescent="0.3">
      <c r="A215" s="2" t="s">
        <v>16</v>
      </c>
      <c r="B215" s="3">
        <v>46019</v>
      </c>
      <c r="C215" s="3" t="str">
        <f t="shared" si="3"/>
        <v>Dec</v>
      </c>
      <c r="D215">
        <v>1</v>
      </c>
      <c r="E215" s="7">
        <f>IFERROR(VLOOKUP(A215, PriceTable!$A$1:$B$32, 2, FALSE) * D215, 0)</f>
        <v>20000</v>
      </c>
    </row>
    <row r="216" spans="1:5" x14ac:dyDescent="0.3">
      <c r="A216" s="2" t="s">
        <v>17</v>
      </c>
      <c r="B216" s="3">
        <v>46019</v>
      </c>
      <c r="C216" s="3" t="str">
        <f t="shared" si="3"/>
        <v>Dec</v>
      </c>
      <c r="D216">
        <v>1</v>
      </c>
      <c r="E216" s="7">
        <f>IFERROR(VLOOKUP(A216, PriceTable!$A$1:$B$32, 2, FALSE) * D216, 0)</f>
        <v>17000</v>
      </c>
    </row>
    <row r="217" spans="1:5" x14ac:dyDescent="0.3">
      <c r="A217" s="2" t="s">
        <v>2</v>
      </c>
      <c r="B217" s="3">
        <v>46019</v>
      </c>
      <c r="C217" s="3" t="str">
        <f t="shared" si="3"/>
        <v>Dec</v>
      </c>
      <c r="D217">
        <v>1</v>
      </c>
      <c r="E217" s="7">
        <f>IFERROR(VLOOKUP(A217, PriceTable!$A$1:$B$32, 2, FALSE) * D217, 0)</f>
        <v>10000</v>
      </c>
    </row>
    <row r="218" spans="1:5" x14ac:dyDescent="0.3">
      <c r="A218" s="2" t="s">
        <v>24</v>
      </c>
      <c r="B218" s="3">
        <v>46019</v>
      </c>
      <c r="C218" s="3" t="str">
        <f t="shared" si="3"/>
        <v>Dec</v>
      </c>
      <c r="D218">
        <v>1</v>
      </c>
      <c r="E218" s="7">
        <f>IFERROR(VLOOKUP(A218, PriceTable!$A$1:$B$32, 2, FALSE) * D218, 0)</f>
        <v>35000</v>
      </c>
    </row>
    <row r="219" spans="1:5" x14ac:dyDescent="0.3">
      <c r="A219" s="2" t="s">
        <v>8</v>
      </c>
      <c r="B219" s="3">
        <v>46021</v>
      </c>
      <c r="C219" s="3" t="str">
        <f t="shared" si="3"/>
        <v>Dec</v>
      </c>
      <c r="D219">
        <v>3</v>
      </c>
      <c r="E219" s="7">
        <f>IFERROR(VLOOKUP(A219, PriceTable!$A$1:$B$32, 2, FALSE) * D219, 0)</f>
        <v>60000</v>
      </c>
    </row>
    <row r="220" spans="1:5" x14ac:dyDescent="0.3">
      <c r="A220" s="2" t="s">
        <v>35</v>
      </c>
      <c r="B220" s="3">
        <v>46021</v>
      </c>
      <c r="C220" s="3" t="str">
        <f t="shared" si="3"/>
        <v>Dec</v>
      </c>
      <c r="D220">
        <v>2</v>
      </c>
      <c r="E220" s="7">
        <f>IFERROR(VLOOKUP(A220, PriceTable!$A$1:$B$32, 2, FALSE) * D220, 0)</f>
        <v>24000</v>
      </c>
    </row>
    <row r="221" spans="1:5" ht="28.8" x14ac:dyDescent="0.3">
      <c r="A221" s="2" t="s">
        <v>5</v>
      </c>
      <c r="B221" s="3">
        <v>46021</v>
      </c>
      <c r="C221" s="3" t="str">
        <f t="shared" si="3"/>
        <v>Dec</v>
      </c>
      <c r="D221">
        <v>2</v>
      </c>
      <c r="E221" s="7">
        <f>IFERROR(VLOOKUP(A221, PriceTable!$A$1:$B$32, 2, FALSE) * D221, 0)</f>
        <v>20000</v>
      </c>
    </row>
    <row r="222" spans="1:5" x14ac:dyDescent="0.3">
      <c r="A222" s="2" t="s">
        <v>35</v>
      </c>
      <c r="B222" s="3">
        <v>46021</v>
      </c>
      <c r="C222" s="3" t="str">
        <f t="shared" si="3"/>
        <v>Dec</v>
      </c>
      <c r="D222">
        <v>2</v>
      </c>
      <c r="E222" s="7">
        <f>IFERROR(VLOOKUP(A222, PriceTable!$A$1:$B$32, 2, FALSE) * D222, 0)</f>
        <v>24000</v>
      </c>
    </row>
    <row r="223" spans="1:5" x14ac:dyDescent="0.3">
      <c r="A223" s="2" t="s">
        <v>24</v>
      </c>
      <c r="B223" s="3">
        <v>46021</v>
      </c>
      <c r="C223" s="3" t="str">
        <f t="shared" si="3"/>
        <v>Dec</v>
      </c>
      <c r="D223">
        <v>1</v>
      </c>
      <c r="E223" s="7">
        <f>IFERROR(VLOOKUP(A223, PriceTable!$A$1:$B$32, 2, FALSE) * D223, 0)</f>
        <v>35000</v>
      </c>
    </row>
    <row r="224" spans="1:5" x14ac:dyDescent="0.3">
      <c r="A224" s="2" t="s">
        <v>3</v>
      </c>
      <c r="B224" s="3">
        <v>46021</v>
      </c>
      <c r="C224" s="3" t="str">
        <f t="shared" si="3"/>
        <v>Dec</v>
      </c>
      <c r="D224">
        <v>1</v>
      </c>
      <c r="E224" s="7">
        <f>IFERROR(VLOOKUP(A224, PriceTable!$A$1:$B$32, 2, FALSE) * D224, 0)</f>
        <v>35000</v>
      </c>
    </row>
    <row r="225" spans="1:5" x14ac:dyDescent="0.3">
      <c r="A225" s="2" t="s">
        <v>7</v>
      </c>
      <c r="B225" s="3">
        <v>46021</v>
      </c>
      <c r="C225" s="3" t="str">
        <f t="shared" si="3"/>
        <v>Dec</v>
      </c>
      <c r="D225">
        <v>2</v>
      </c>
      <c r="E225" s="7">
        <f>IFERROR(VLOOKUP(A225, PriceTable!$A$1:$B$32, 2, FALSE) * D225, 0)</f>
        <v>20000</v>
      </c>
    </row>
    <row r="226" spans="1:5" x14ac:dyDescent="0.3">
      <c r="A226" s="2" t="s">
        <v>2</v>
      </c>
      <c r="B226" s="3">
        <v>46021</v>
      </c>
      <c r="C226" s="3" t="str">
        <f t="shared" si="3"/>
        <v>Dec</v>
      </c>
      <c r="D226">
        <v>1</v>
      </c>
      <c r="E226" s="7">
        <f>IFERROR(VLOOKUP(A226, PriceTable!$A$1:$B$32, 2, FALSE) * D226, 0)</f>
        <v>10000</v>
      </c>
    </row>
    <row r="227" spans="1:5" x14ac:dyDescent="0.3">
      <c r="A227" s="2" t="s">
        <v>48</v>
      </c>
      <c r="B227" s="3">
        <v>46021</v>
      </c>
      <c r="C227" s="3" t="str">
        <f t="shared" si="3"/>
        <v>Dec</v>
      </c>
      <c r="D227">
        <v>1</v>
      </c>
      <c r="E227" s="7">
        <f>IFERROR(VLOOKUP(A227, PriceTable!$A$1:$B$32, 2, FALSE) * D227, 0)</f>
        <v>5000</v>
      </c>
    </row>
    <row r="228" spans="1:5" ht="28.8" x14ac:dyDescent="0.3">
      <c r="A228" s="2" t="s">
        <v>5</v>
      </c>
      <c r="B228" s="3">
        <v>46022</v>
      </c>
      <c r="C228" s="3" t="s">
        <v>50</v>
      </c>
      <c r="D228">
        <v>1</v>
      </c>
      <c r="E228" s="7">
        <f>IFERROR(VLOOKUP(A228, PriceTable!$A$1:$B$32, 2, FALSE) * D228, 0)</f>
        <v>10000</v>
      </c>
    </row>
  </sheetData>
  <sortState xmlns:xlrd2="http://schemas.microsoft.com/office/spreadsheetml/2017/richdata2" ref="A2:E66">
    <sortCondition ref="B2:B66"/>
  </sortState>
  <phoneticPr fontId="2"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13F9-8D0C-44D1-BF97-C29878C32A43}">
  <dimension ref="A2:M53"/>
  <sheetViews>
    <sheetView zoomScale="73" workbookViewId="0">
      <selection activeCell="I63" sqref="I63"/>
    </sheetView>
  </sheetViews>
  <sheetFormatPr defaultRowHeight="14.4" x14ac:dyDescent="0.3"/>
  <cols>
    <col min="1" max="1" width="24.88671875" customWidth="1"/>
    <col min="2" max="3" width="14.88671875" bestFit="1" customWidth="1"/>
    <col min="12" max="12" width="17.21875" bestFit="1" customWidth="1"/>
    <col min="13" max="13" width="15.5546875" bestFit="1" customWidth="1"/>
    <col min="14" max="14" width="15.109375" bestFit="1" customWidth="1"/>
  </cols>
  <sheetData>
    <row r="2" spans="1:13" x14ac:dyDescent="0.3">
      <c r="A2" s="8" t="s">
        <v>41</v>
      </c>
      <c r="B2" t="s">
        <v>43</v>
      </c>
    </row>
    <row r="3" spans="1:13" x14ac:dyDescent="0.3">
      <c r="A3" s="9" t="s">
        <v>5</v>
      </c>
      <c r="B3" s="11">
        <v>55</v>
      </c>
      <c r="L3" s="8" t="s">
        <v>41</v>
      </c>
      <c r="M3" t="s">
        <v>44</v>
      </c>
    </row>
    <row r="4" spans="1:13" x14ac:dyDescent="0.3">
      <c r="A4" s="9" t="s">
        <v>23</v>
      </c>
      <c r="B4" s="11">
        <v>49</v>
      </c>
      <c r="L4" s="9" t="s">
        <v>22</v>
      </c>
      <c r="M4" s="10">
        <v>860000</v>
      </c>
    </row>
    <row r="5" spans="1:13" x14ac:dyDescent="0.3">
      <c r="A5" s="9" t="s">
        <v>22</v>
      </c>
      <c r="B5" s="11">
        <v>43</v>
      </c>
      <c r="L5" s="9" t="s">
        <v>24</v>
      </c>
      <c r="M5" s="10">
        <v>840000</v>
      </c>
    </row>
    <row r="6" spans="1:13" x14ac:dyDescent="0.3">
      <c r="A6" s="9" t="s">
        <v>35</v>
      </c>
      <c r="B6" s="11">
        <v>37</v>
      </c>
      <c r="L6" s="9" t="s">
        <v>5</v>
      </c>
      <c r="M6" s="10">
        <v>550000</v>
      </c>
    </row>
    <row r="7" spans="1:13" x14ac:dyDescent="0.3">
      <c r="A7" s="9" t="s">
        <v>24</v>
      </c>
      <c r="B7" s="11">
        <v>24</v>
      </c>
      <c r="L7" s="9" t="s">
        <v>23</v>
      </c>
      <c r="M7" s="10">
        <v>490000</v>
      </c>
    </row>
    <row r="8" spans="1:13" x14ac:dyDescent="0.3">
      <c r="A8" s="9" t="s">
        <v>42</v>
      </c>
      <c r="B8" s="11">
        <v>208</v>
      </c>
      <c r="L8" s="9" t="s">
        <v>35</v>
      </c>
      <c r="M8" s="10">
        <v>444000</v>
      </c>
    </row>
    <row r="9" spans="1:13" x14ac:dyDescent="0.3">
      <c r="L9" s="9" t="s">
        <v>42</v>
      </c>
      <c r="M9" s="10">
        <v>3184000</v>
      </c>
    </row>
    <row r="21" spans="1:13" x14ac:dyDescent="0.3">
      <c r="L21" s="9"/>
      <c r="M21" s="7"/>
    </row>
    <row r="22" spans="1:13" x14ac:dyDescent="0.3">
      <c r="L22" s="9"/>
      <c r="M22" s="7"/>
    </row>
    <row r="23" spans="1:13" x14ac:dyDescent="0.3">
      <c r="L23" s="9"/>
      <c r="M23" s="7"/>
    </row>
    <row r="24" spans="1:13" x14ac:dyDescent="0.3">
      <c r="L24" s="8" t="s">
        <v>41</v>
      </c>
      <c r="M24" t="s">
        <v>44</v>
      </c>
    </row>
    <row r="25" spans="1:13" x14ac:dyDescent="0.3">
      <c r="L25" s="9" t="s">
        <v>47</v>
      </c>
      <c r="M25" s="7">
        <v>20000</v>
      </c>
    </row>
    <row r="26" spans="1:13" x14ac:dyDescent="0.3">
      <c r="L26" s="9" t="s">
        <v>16</v>
      </c>
      <c r="M26" s="7">
        <v>20000</v>
      </c>
    </row>
    <row r="27" spans="1:13" x14ac:dyDescent="0.3">
      <c r="L27" s="9" t="s">
        <v>45</v>
      </c>
      <c r="M27" s="7">
        <v>20000</v>
      </c>
    </row>
    <row r="28" spans="1:13" x14ac:dyDescent="0.3">
      <c r="L28" s="9" t="s">
        <v>38</v>
      </c>
      <c r="M28" s="7">
        <v>14000</v>
      </c>
    </row>
    <row r="29" spans="1:13" x14ac:dyDescent="0.3">
      <c r="L29" s="9" t="s">
        <v>39</v>
      </c>
      <c r="M29" s="7">
        <v>10000</v>
      </c>
    </row>
    <row r="30" spans="1:13" x14ac:dyDescent="0.3">
      <c r="L30" s="9" t="s">
        <v>48</v>
      </c>
      <c r="M30" s="7">
        <v>10000</v>
      </c>
    </row>
    <row r="31" spans="1:13" x14ac:dyDescent="0.3">
      <c r="L31" s="9" t="s">
        <v>29</v>
      </c>
      <c r="M31" s="7">
        <v>5000</v>
      </c>
    </row>
    <row r="32" spans="1:13" x14ac:dyDescent="0.3">
      <c r="A32" s="8" t="s">
        <v>41</v>
      </c>
      <c r="B32" t="s">
        <v>43</v>
      </c>
      <c r="L32" s="9" t="s">
        <v>42</v>
      </c>
      <c r="M32" s="7">
        <v>99000</v>
      </c>
    </row>
    <row r="33" spans="1:2" x14ac:dyDescent="0.3">
      <c r="A33" s="9" t="s">
        <v>45</v>
      </c>
      <c r="B33" s="11">
        <v>1</v>
      </c>
    </row>
    <row r="34" spans="1:2" x14ac:dyDescent="0.3">
      <c r="A34" s="9" t="s">
        <v>16</v>
      </c>
      <c r="B34" s="11">
        <v>1</v>
      </c>
    </row>
    <row r="35" spans="1:2" x14ac:dyDescent="0.3">
      <c r="A35" s="9" t="s">
        <v>47</v>
      </c>
      <c r="B35" s="11">
        <v>1</v>
      </c>
    </row>
    <row r="36" spans="1:2" x14ac:dyDescent="0.3">
      <c r="A36" s="9" t="s">
        <v>29</v>
      </c>
      <c r="B36" s="11">
        <v>1</v>
      </c>
    </row>
    <row r="37" spans="1:2" x14ac:dyDescent="0.3">
      <c r="A37" s="9" t="s">
        <v>28</v>
      </c>
      <c r="B37" s="11">
        <v>1</v>
      </c>
    </row>
    <row r="38" spans="1:2" x14ac:dyDescent="0.3">
      <c r="A38" s="9" t="s">
        <v>39</v>
      </c>
      <c r="B38" s="11">
        <v>1</v>
      </c>
    </row>
    <row r="39" spans="1:2" x14ac:dyDescent="0.3">
      <c r="A39" s="9" t="s">
        <v>42</v>
      </c>
      <c r="B39" s="11">
        <v>6</v>
      </c>
    </row>
    <row r="49" spans="1:2" x14ac:dyDescent="0.3">
      <c r="A49" s="8" t="s">
        <v>41</v>
      </c>
      <c r="B49" t="s">
        <v>44</v>
      </c>
    </row>
    <row r="50" spans="1:2" x14ac:dyDescent="0.3">
      <c r="A50" s="9" t="s">
        <v>56</v>
      </c>
      <c r="B50" s="13">
        <v>2026000</v>
      </c>
    </row>
    <row r="51" spans="1:2" x14ac:dyDescent="0.3">
      <c r="A51" s="9" t="s">
        <v>57</v>
      </c>
      <c r="B51" s="13">
        <v>1199000</v>
      </c>
    </row>
    <row r="52" spans="1:2" x14ac:dyDescent="0.3">
      <c r="A52" s="9" t="s">
        <v>50</v>
      </c>
      <c r="B52" s="13">
        <v>3172000</v>
      </c>
    </row>
    <row r="53" spans="1:2" x14ac:dyDescent="0.3">
      <c r="A53" s="9" t="s">
        <v>42</v>
      </c>
      <c r="B53" s="11">
        <v>6397000</v>
      </c>
    </row>
  </sheetData>
  <pageMargins left="0.7" right="0.7" top="0.75" bottom="0.75" header="0.3" footer="0.3"/>
  <pageSetup paperSize="9"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3A7E-F567-4609-8CF2-4CCCCDF4F400}">
  <dimension ref="A1"/>
  <sheetViews>
    <sheetView showGridLines="0" showRowColHeaders="0" zoomScale="90" zoomScaleNormal="90" workbookViewId="0">
      <selection activeCell="F40" sqref="F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A1C4-6B67-4BB0-9507-61968256EB68}">
  <dimension ref="A1"/>
  <sheetViews>
    <sheetView showGridLines="0" showRowColHeaders="0" tabSelected="1" topLeftCell="A9" workbookViewId="0">
      <selection activeCell="N37" sqref="N37"/>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PriceTable</vt:lpstr>
      <vt:lpstr>Sales</vt:lpstr>
      <vt:lpstr>Pivot Tables</vt:lpstr>
      <vt:lpstr>Dasboard</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kmarx@yahoo.com</dc:creator>
  <cp:lastModifiedBy>William Shelukindo</cp:lastModifiedBy>
  <dcterms:created xsi:type="dcterms:W3CDTF">2025-12-09T04:32:16Z</dcterms:created>
  <dcterms:modified xsi:type="dcterms:W3CDTF">2026-01-27T10:33:51Z</dcterms:modified>
</cp:coreProperties>
</file>